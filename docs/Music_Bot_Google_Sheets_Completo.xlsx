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7ccb346944f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uracionBot" sheetId="1" r:id="R468a39e011304c9d"/>
    <x:sheet xmlns:r="http://schemas.openxmlformats.org/officeDocument/2006/relationships" name="Eventos" sheetId="2" r:id="Rfd5905e9f72b4ea8"/>
    <x:sheet xmlns:r="http://schemas.openxmlformats.org/officeDocument/2006/relationships" name="SolicitudesContratacion" sheetId="3" r:id="Rb668b8105bca4742"/>
    <x:sheet xmlns:r="http://schemas.openxmlformats.org/officeDocument/2006/relationships" name="InteresesLocalidad" sheetId="4" r:id="R990503a66a144ccf"/>
    <x:sheet xmlns:r="http://schemas.openxmlformats.org/officeDocument/2006/relationships" name="Usuarios" sheetId="5" r:id="R7304fbd91c9e439a"/>
    <x:sheet xmlns:r="http://schemas.openxmlformats.org/officeDocument/2006/relationships" name="Conversaciones" sheetId="6" r:id="R7bcadd676d604e66"/>
    <x:sheet xmlns:r="http://schemas.openxmlformats.org/officeDocument/2006/relationships" name="Mensajes" sheetId="7" r:id="R7b78360f02944bd6"/>
    <x:sheet xmlns:r="http://schemas.openxmlformats.org/officeDocument/2006/relationships" name="Administradores" sheetId="8" r:id="R81e0e5c6e57c490b"/>
    <x:sheet xmlns:r="http://schemas.openxmlformats.org/officeDocument/2006/relationships" name="Seguimientos" sheetId="9" r:id="Rc91a2b5ada2e4f59"/>
    <x:sheet xmlns:r="http://schemas.openxmlformats.org/officeDocument/2006/relationships" name="Metricas" sheetId="10" r:id="R912cdc682bcf4a34"/>
    <x:sheet xmlns:r="http://schemas.openxmlformats.org/officeDocument/2006/relationships" name="ContenidosAgrupacion" sheetId="11" r:id="R0346c1435577464d"/>
    <x:sheet xmlns:r="http://schemas.openxmlformats.org/officeDocument/2006/relationships" name="Localidades" sheetId="12" r:id="Rde4e66fe2e2b476a"/>
    <x:sheet xmlns:r="http://schemas.openxmlformats.org/officeDocument/2006/relationships" name="NotificacionesAdmin" sheetId="13" r:id="R0440b96da56e4bf5"/>
    <x:sheet xmlns:r="http://schemas.openxmlformats.org/officeDocument/2006/relationships" name="Errores" sheetId="14" r:id="Rcafa47bedcb840d0"/>
    <x:sheet xmlns:r="http://schemas.openxmlformats.org/officeDocument/2006/relationships" name="Catalogos" sheetId="15" r:id="Re94d052e26a74d44"/>
    <x:sheet xmlns:r="http://schemas.openxmlformats.org/officeDocument/2006/relationships" name="Dashboard" sheetId="16" r:id="R26e42ab248a34800"/>
    <x:sheet xmlns:r="http://schemas.openxmlformats.org/officeDocument/2006/relationships" name="README" sheetId="17" r:id="R52de01ea52094d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61A4D"/>
      </x:patternFill>
    </x:fill>
    <x:fill>
      <x:patternFill patternType="solid">
        <x:fgColor rgb="005BF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ill>
        <x:patternFill patternType="solid">
          <x:bgColor rgb="EAF1FF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0f6b3945d49d7" /><Relationship Type="http://schemas.openxmlformats.org/officeDocument/2006/relationships/theme" Target="/xl/theme/theme1.xml" Id="Rb93512b3344e4a1a" /><Relationship Type="http://schemas.openxmlformats.org/officeDocument/2006/relationships/sharedStrings" Target="/xl/sharedStrings.xml" Id="R49c9007d677247b7" /><Relationship Type="http://schemas.openxmlformats.org/officeDocument/2006/relationships/worksheet" Target="/xl/worksheets/sheet1.xml" Id="R468a39e011304c9d" /><Relationship Type="http://schemas.openxmlformats.org/officeDocument/2006/relationships/worksheet" Target="/xl/worksheets/sheet2.xml" Id="Rfd5905e9f72b4ea8" /><Relationship Type="http://schemas.openxmlformats.org/officeDocument/2006/relationships/worksheet" Target="/xl/worksheets/sheet3.xml" Id="Rb668b8105bca4742" /><Relationship Type="http://schemas.openxmlformats.org/officeDocument/2006/relationships/worksheet" Target="/xl/worksheets/sheet4.xml" Id="R990503a66a144ccf" /><Relationship Type="http://schemas.openxmlformats.org/officeDocument/2006/relationships/worksheet" Target="/xl/worksheets/sheet5.xml" Id="R7304fbd91c9e439a" /><Relationship Type="http://schemas.openxmlformats.org/officeDocument/2006/relationships/worksheet" Target="/xl/worksheets/sheet6.xml" Id="R7bcadd676d604e66" /><Relationship Type="http://schemas.openxmlformats.org/officeDocument/2006/relationships/worksheet" Target="/xl/worksheets/sheet7.xml" Id="R7b78360f02944bd6" /><Relationship Type="http://schemas.openxmlformats.org/officeDocument/2006/relationships/worksheet" Target="/xl/worksheets/sheet8.xml" Id="R81e0e5c6e57c490b" /><Relationship Type="http://schemas.openxmlformats.org/officeDocument/2006/relationships/worksheet" Target="/xl/worksheets/sheet9.xml" Id="Rc91a2b5ada2e4f59" /><Relationship Type="http://schemas.openxmlformats.org/officeDocument/2006/relationships/worksheet" Target="/xl/worksheets/sheet10.xml" Id="R912cdc682bcf4a34" /><Relationship Type="http://schemas.openxmlformats.org/officeDocument/2006/relationships/worksheet" Target="/xl/worksheets/sheet11.xml" Id="R0346c1435577464d" /><Relationship Type="http://schemas.openxmlformats.org/officeDocument/2006/relationships/worksheet" Target="/xl/worksheets/sheet12.xml" Id="Rde4e66fe2e2b476a" /><Relationship Type="http://schemas.openxmlformats.org/officeDocument/2006/relationships/worksheet" Target="/xl/worksheets/sheet13.xml" Id="R0440b96da56e4bf5" /><Relationship Type="http://schemas.openxmlformats.org/officeDocument/2006/relationships/worksheet" Target="/xl/worksheets/sheet14.xml" Id="Rcafa47bedcb840d0" /><Relationship Type="http://schemas.openxmlformats.org/officeDocument/2006/relationships/worksheet" Target="/xl/worksheets/sheet15.xml" Id="Re94d052e26a74d44" /><Relationship Type="http://schemas.openxmlformats.org/officeDocument/2006/relationships/worksheet" Target="/xl/worksheets/sheet16.xml" Id="R26e42ab248a34800" /><Relationship Type="http://schemas.openxmlformats.org/officeDocument/2006/relationships/worksheet" Target="/xl/worksheets/sheet17.xml" Id="R52de01ea52094d71" /></Relationships>
</file>

<file path=xl/tables/table1.xml><?xml version="1.0" encoding="utf-8"?>
<x:table xmlns:x="http://schemas.openxmlformats.org/spreadsheetml/2006/main" id="1" name="ConfiguracionBotTable" displayName="ConfiguracionBotTable" ref="A1:E8" headerRowCount="1">
  <x:tableColumns count="5">
    <x:tableColumn id="1" name="clave"/>
    <x:tableColumn id="2" name="valor"/>
    <x:tableColumn id="3" name="descripcion"/>
    <x:tableColumn id="4" name="activo"/>
    <x:tableColumn id="5" name="fecha_actualizacion"/>
  </x:tableColumns>
  <x:tableStyleInfo name="TableStyleMedium2" showRowStripes="1"/>
</x:table>
</file>

<file path=xl/tables/table2.xml><?xml version="1.0" encoding="utf-8"?>
<x:table xmlns:x="http://schemas.openxmlformats.org/spreadsheetml/2006/main" id="2" name="EventosTable" displayName="EventosTable" ref="A1:U3" headerRowCount="1">
  <x:tableColumns count="21">
    <x:tableColumn id="1" name="id_evento"/>
    <x:tableColumn id="2" name="fecha_evento"/>
    <x:tableColumn id="3" name="hora_inicio"/>
    <x:tableColumn id="4" name="hora_fin"/>
    <x:tableColumn id="5" name="ciudad"/>
    <x:tableColumn id="6" name="provincia"/>
    <x:tableColumn id="7" name="region"/>
    <x:tableColumn id="8" name="lugar"/>
    <x:tableColumn id="9" name="direccion"/>
    <x:tableColumn id="10" name="google_maps_url"/>
    <x:tableColumn id="11" name="estado"/>
    <x:tableColumn id="12" name="entrada_precio"/>
    <x:tableColumn id="13" name="entrada_descripcion"/>
    <x:tableColumn id="14" name="entrada_link"/>
    <x:tableColumn id="15" name="flyer_url"/>
    <x:tableColumn id="16" name="post_url"/>
    <x:tableColumn id="17" name="descripcion_publica"/>
    <x:tableColumn id="18" name="notas_internas"/>
    <x:tableColumn id="19" name="creado_por"/>
    <x:tableColumn id="20" name="fecha_creacion"/>
    <x:tableColumn id="21" name="fecha_actualizacion"/>
  </x:tableColumns>
  <x:tableStyleInfo name="TableStyleMedium2" showRowStripes="1"/>
</x:table>
</file>

<file path=xl/tables/table3.xml><?xml version="1.0" encoding="utf-8"?>
<x:table xmlns:x="http://schemas.openxmlformats.org/spreadsheetml/2006/main" id="3" name="SolicitudesContratacionTable" displayName="SolicitudesContratacionTable" ref="A1:Q2" headerRowCount="1">
  <x:tableColumns count="17">
    <x:tableColumn id="1" name="codigo_solicitud"/>
    <x:tableColumn id="2" name="fecha_registro"/>
    <x:tableColumn id="3" name="estado"/>
    <x:tableColumn id="4" name="numero_cliente"/>
    <x:tableColumn id="5" name="nombre_o_dni"/>
    <x:tableColumn id="6" name="numero_contacto"/>
    <x:tableColumn id="7" name="localidad"/>
    <x:tableColumn id="8" name="tipo_evento"/>
    <x:tableColumn id="9" name="fecha_evento"/>
    <x:tableColumn id="10" name="horario_evento"/>
    <x:tableColumn id="11" name="cantidad_personas"/>
    <x:tableColumn id="12" name="admin_asignado"/>
    <x:tableColumn id="13" name="modo_atencion"/>
    <x:tableColumn id="14" name="ultimo_mensaje_cliente"/>
    <x:tableColumn id="15" name="fecha_ultima_interaccion"/>
    <x:tableColumn id="16" name="observaciones"/>
    <x:tableColumn id="17" name="origen"/>
  </x:tableColumns>
  <x:tableStyleInfo name="TableStyleMedium2" showRowStripes="1"/>
</x:table>
</file>

<file path=xl/tables/table4.xml><?xml version="1.0" encoding="utf-8"?>
<x:table xmlns:x="http://schemas.openxmlformats.org/spreadsheetml/2006/main" id="4" name="InteresesLocalidadTable" displayName="InteresesLocalidadTable" ref="A1:H2" headerRowCount="1">
  <x:tableColumns count="8">
    <x:tableColumn id="1" name="id_interes"/>
    <x:tableColumn id="2" name="fecha_registro"/>
    <x:tableColumn id="3" name="numero_cliente"/>
    <x:tableColumn id="4" name="localidad"/>
    <x:tableColumn id="5" name="intencion"/>
    <x:tableColumn id="6" name="mensaje_original"/>
    <x:tableColumn id="7" name="estado"/>
    <x:tableColumn id="8" name="origen"/>
  </x:tableColumns>
  <x:tableStyleInfo name="TableStyleMedium2" showRowStripes="1"/>
</x:table>
</file>

<file path=xl/tables/table5.xml><?xml version="1.0" encoding="utf-8"?>
<x:table xmlns:x="http://schemas.openxmlformats.org/spreadsheetml/2006/main" id="5" name="UsuariosTable" displayName="UsuariosTable" ref="A1:I2" headerRowCount="1">
  <x:tableColumns count="9">
    <x:tableColumn id="1" name="id_usuario"/>
    <x:tableColumn id="2" name="numero_whatsapp"/>
    <x:tableColumn id="3" name="nombre_mostrado"/>
    <x:tableColumn id="4" name="tipo_usuario"/>
    <x:tableColumn id="5" name="localidad_detectada"/>
    <x:tableColumn id="6" name="primera_interaccion"/>
    <x:tableColumn id="7" name="ultima_interaccion"/>
    <x:tableColumn id="8" name="estado"/>
    <x:tableColumn id="9" name="notas"/>
  </x:tableColumns>
  <x:tableStyleInfo name="TableStyleMedium2" showRowStripes="1"/>
</x:table>
</file>

<file path=xl/tables/table6.xml><?xml version="1.0" encoding="utf-8"?>
<x:table xmlns:x="http://schemas.openxmlformats.org/spreadsheetml/2006/main" id="6" name="ConversacionesTable" displayName="ConversacionesTable" ref="A1:J2" headerRowCount="1">
  <x:tableColumns count="10">
    <x:tableColumn id="1" name="id_conversacion"/>
    <x:tableColumn id="2" name="numero_cliente"/>
    <x:tableColumn id="3" name="codigo_solicitud"/>
    <x:tableColumn id="4" name="estado_conversacion"/>
    <x:tableColumn id="5" name="intencion_actual"/>
    <x:tableColumn id="6" name="paso_actual"/>
    <x:tableColumn id="7" name="admin_en_control"/>
    <x:tableColumn id="8" name="fecha_inicio"/>
    <x:tableColumn id="9" name="fecha_ultima_interaccion"/>
    <x:tableColumn id="10" name="resumen"/>
  </x:tableColumns>
  <x:tableStyleInfo name="TableStyleMedium2" showRowStripes="1"/>
</x:table>
</file>

<file path=xl/tables/table7.xml><?xml version="1.0" encoding="utf-8"?>
<x:table xmlns:x="http://schemas.openxmlformats.org/spreadsheetml/2006/main" id="7" name="MensajesTable" displayName="MensajesTable" ref="A1:J2" headerRowCount="1">
  <x:tableColumns count="10">
    <x:tableColumn id="1" name="id_mensaje"/>
    <x:tableColumn id="2" name="id_conversacion"/>
    <x:tableColumn id="3" name="fecha_hora"/>
    <x:tableColumn id="4" name="numero_origen"/>
    <x:tableColumn id="5" name="tipo_origen"/>
    <x:tableColumn id="6" name="mensaje"/>
    <x:tableColumn id="7" name="intencion_detectada"/>
    <x:tableColumn id="8" name="confianza"/>
    <x:tableColumn id="9" name="respuesta_bot"/>
    <x:tableColumn id="10" name="estado_envio"/>
  </x:tableColumns>
  <x:tableStyleInfo name="TableStyleMedium2" showRowStripes="1"/>
</x:table>
</file>

<file path=xl/tables/table8.xml><?xml version="1.0" encoding="utf-8"?>
<x:table xmlns:x="http://schemas.openxmlformats.org/spreadsheetml/2006/main" id="8" name="AdministradoresTable" displayName="AdministradoresTable" ref="A1:J3" headerRowCount="1">
  <x:tableColumns count="10">
    <x:tableColumn id="1" name="id_admin"/>
    <x:tableColumn id="2" name="nombre"/>
    <x:tableColumn id="3" name="telefono_whatsapp"/>
    <x:tableColumn id="4" name="rol"/>
    <x:tableColumn id="5" name="activo"/>
    <x:tableColumn id="6" name="puede_tomar_control"/>
    <x:tableColumn id="7" name="puede_hacer_seguimiento"/>
    <x:tableColumn id="8" name="recibe_notificaciones"/>
    <x:tableColumn id="9" name="fecha_registro"/>
    <x:tableColumn id="10" name="notas"/>
  </x:tableColumns>
  <x:tableStyleInfo name="TableStyleMedium2" showRowStripes="1"/>
</x:table>
</file>

<file path=xl/tables/table9.xml><?xml version="1.0" encoding="utf-8"?>
<x:table xmlns:x="http://schemas.openxmlformats.org/spreadsheetml/2006/main" id="9" name="SeguimientosTable" displayName="SeguimientosTable" ref="A1:I2" headerRowCount="1">
  <x:tableColumns count="9">
    <x:tableColumn id="1" name="id_seguimiento"/>
    <x:tableColumn id="2" name="codigo_solicitud"/>
    <x:tableColumn id="3" name="admin_id"/>
    <x:tableColumn id="4" name="fecha_programada"/>
    <x:tableColumn id="5" name="estado"/>
    <x:tableColumn id="6" name="accion"/>
    <x:tableColumn id="7" name="resultado"/>
    <x:tableColumn id="8" name="fecha_creacion"/>
    <x:tableColumn id="9" name="fecha_actualizacion"/>
  </x:tableColumns>
  <x:tableStyleInfo name="TableStyleMedium2" showRowStripes="1"/>
</x:table>
</file>

<file path=xl/tables/table10.xml><?xml version="1.0" encoding="utf-8"?>
<x:table xmlns:x="http://schemas.openxmlformats.org/spreadsheetml/2006/main" id="10" name="MetricasTable" displayName="MetricasTable" ref="A1:G4" headerRowCount="1">
  <x:tableColumns count="7">
    <x:tableColumn id="1" name="fecha"/>
    <x:tableColumn id="2" name="metrica"/>
    <x:tableColumn id="3" name="valor"/>
    <x:tableColumn id="4" name="localidad"/>
    <x:tableColumn id="5" name="intencion"/>
    <x:tableColumn id="6" name="canal"/>
    <x:tableColumn id="7" name="observaciones"/>
  </x:tableColumns>
  <x:tableStyleInfo name="TableStyleMedium2" showRowStripes="1"/>
</x:table>
</file>

<file path=xl/tables/table11.xml><?xml version="1.0" encoding="utf-8"?>
<x:table xmlns:x="http://schemas.openxmlformats.org/spreadsheetml/2006/main" id="11" name="ContenidosAgrupacionTable" displayName="ContenidosAgrupacionTable" ref="A1:H6" headerRowCount="1">
  <x:tableColumns count="8">
    <x:tableColumn id="1" name="id_contenido"/>
    <x:tableColumn id="2" name="categoria"/>
    <x:tableColumn id="3" name="titulo"/>
    <x:tableColumn id="4" name="descripcion"/>
    <x:tableColumn id="5" name="url"/>
    <x:tableColumn id="6" name="activo"/>
    <x:tableColumn id="7" name="prioridad"/>
    <x:tableColumn id="8" name="fecha_actualizacion"/>
  </x:tableColumns>
  <x:tableStyleInfo name="TableStyleMedium2" showRowStripes="1"/>
</x:table>
</file>

<file path=xl/tables/table12.xml><?xml version="1.0" encoding="utf-8"?>
<x:table xmlns:x="http://schemas.openxmlformats.org/spreadsheetml/2006/main" id="12" name="LocalidadesTable" displayName="LocalidadesTable" ref="A1:L15" headerRowCount="1">
  <x:tableColumns count="12">
    <x:tableColumn id="1" name="id_localidad"/>
    <x:tableColumn id="2" name="nombre_localidad"/>
    <x:tableColumn id="3" name="nombre_normalizado"/>
    <x:tableColumn id="4" name="region"/>
    <x:tableColumn id="5" name="provincia"/>
    <x:tableColumn id="6" name="palabras_clave"/>
    <x:tableColumn id="7" name="frase_contratacion"/>
    <x:tableColumn id="8" name="frase_eventos"/>
    <x:tableColumn id="9" name="frase_general"/>
    <x:tableColumn id="10" name="activo"/>
    <x:tableColumn id="11" name="prioridad"/>
    <x:tableColumn id="12" name="fecha_actualizacion"/>
  </x:tableColumns>
  <x:tableStyleInfo name="TableStyleMedium2" showRowStripes="1"/>
</x:table>
</file>

<file path=xl/tables/table13.xml><?xml version="1.0" encoding="utf-8"?>
<x:table xmlns:x="http://schemas.openxmlformats.org/spreadsheetml/2006/main" id="13" name="NotificacionesAdminTable" displayName="NotificacionesAdminTable" ref="A1:I2" headerRowCount="1">
  <x:tableColumns count="9">
    <x:tableColumn id="1" name="id_notificacion"/>
    <x:tableColumn id="2" name="fecha_hora"/>
    <x:tableColumn id="3" name="codigo_solicitud"/>
    <x:tableColumn id="4" name="numero_admin"/>
    <x:tableColumn id="5" name="tipo"/>
    <x:tableColumn id="6" name="mensaje"/>
    <x:tableColumn id="7" name="estado"/>
    <x:tableColumn id="8" name="accion_disponible"/>
    <x:tableColumn id="9" name="fecha_lectura"/>
  </x:tableColumns>
  <x:tableStyleInfo name="TableStyleMedium2" showRowStripes="1"/>
</x:table>
</file>

<file path=xl/tables/table14.xml><?xml version="1.0" encoding="utf-8"?>
<x:table xmlns:x="http://schemas.openxmlformats.org/spreadsheetml/2006/main" id="14" name="ErroresTable" displayName="ErroresTable" ref="A1:K2" headerRowCount="1">
  <x:tableColumns count="11">
    <x:tableColumn id="1" name="id_error"/>
    <x:tableColumn id="2" name="fecha_hora"/>
    <x:tableColumn id="3" name="modulo"/>
    <x:tableColumn id="4" name="funcion"/>
    <x:tableColumn id="5" name="numero_cliente"/>
    <x:tableColumn id="6" name="mensaje_original"/>
    <x:tableColumn id="7" name="error_resumen"/>
    <x:tableColumn id="8" name="stacktrace"/>
    <x:tableColumn id="9" name="estado"/>
    <x:tableColumn id="10" name="resuelto_por"/>
    <x:tableColumn id="11" name="fecha_resolucion"/>
  </x:tableColumns>
  <x:tableStyleInfo name="TableStyleMedium2" showRowStripes="1"/>
</x:table>
</file>

<file path=xl/tables/table15.xml><?xml version="1.0" encoding="utf-8"?>
<x:table xmlns:x="http://schemas.openxmlformats.org/spreadsheetml/2006/main" id="15" name="CatalogosTable" displayName="CatalogosTable" ref="A1:D32" headerRowCount="1">
  <x:tableColumns count="4">
    <x:tableColumn id="1" name="catalogo"/>
    <x:tableColumn id="2" name="valor"/>
    <x:tableColumn id="3" name="descripcion"/>
    <x:tableColumn id="4" name="activo"/>
  </x:tableColumns>
  <x:tableStyleInfo name="TableStyleMedium2" showRowStripes="1"/>
</x:table>
</file>

<file path=xl/tables/table16.xml><?xml version="1.0" encoding="utf-8"?>
<x:table xmlns:x="http://schemas.openxmlformats.org/spreadsheetml/2006/main" id="16" name="ReadmeTable" displayName="ReadmeTable" ref="A1:B8" headerRowCount="1">
  <x:tableColumns count="2">
    <x:tableColumn id="1" name="tema"/>
    <x:tableColumn id="2" name="detal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d6c8622c974f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b886b603d646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afae33f37e647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d57422fa3494e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7981ed0e4ae4a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44b4502bee349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9d723c5576f4e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25b6af9b11e4f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b201a8264634ff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b74a3473aa443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aed5ba333954b7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b1ec12c736b4d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5e9f2facf1240c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02b2694d5c04a0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4ff3b6633c4448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53dc65bc1e645c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55" hidden="0" customWidth="1"/>
    <x:col min="4" max="4" width="4.849999904632568" hidden="0" customWidth="1"/>
    <x:col min="5" max="5" width="16.020000457763672" hidden="0" customWidth="1"/>
  </x:cols>
  <x:sheetData>
    <x:row r="1" ht="28" customHeight="1">
      <x:c r="A1" s="6" t="str">
        <x:v>clave</x:v>
      </x:c>
      <x:c r="B1" s="6" t="str">
        <x:v>valor</x:v>
      </x:c>
      <x:c r="C1" s="6" t="str">
        <x:v>descripcion</x:v>
      </x:c>
      <x:c r="D1" s="6" t="str">
        <x:v>activo</x:v>
      </x:c>
      <x:c r="E1" s="6" t="str">
        <x:v>fecha_actualizacion</x:v>
      </x:c>
    </x:row>
    <x:row r="2">
      <x:c r="A2" s="12" t="str">
        <x:v>bot_nombre</x:v>
      </x:c>
      <x:c r="B2" s="12" t="str">
        <x:v>Music Bot</x:v>
      </x:c>
      <x:c r="C2" s="12" t="str">
        <x:v>Nombre interno del bot</x:v>
      </x:c>
      <x:c r="D2" s="12" t="str">
        <x:v>SI</x:v>
      </x:c>
      <x:c r="E2" s="12" t="n">
        <x:v>46174</x:v>
      </x:c>
    </x:row>
    <x:row r="3">
      <x:c r="A3" s="12" t="str">
        <x:v>agrupacion_nombre</x:v>
      </x:c>
      <x:c r="B3" s="12" t="str">
        <x:v>Carlos Fer y Agrup. Cariño Lindo</x:v>
      </x:c>
      <x:c r="C3" s="12" t="str">
        <x:v>Nombre público de la agrupación</x:v>
      </x:c>
      <x:c r="D3" s="12" t="str">
        <x:v>SI</x:v>
      </x:c>
      <x:c r="E3" s="12" t="n">
        <x:v>46174</x:v>
      </x:c>
    </x:row>
    <x:row r="4">
      <x:c r="A4" s="12" t="str">
        <x:v>tono</x:v>
      </x:c>
      <x:c r="B4" s="12" t="str">
        <x:v>cercano, ameno, profesional y con gracia ligera</x:v>
      </x:c>
      <x:c r="C4" s="12" t="str">
        <x:v>Guía de tono para respuestas</x:v>
      </x:c>
      <x:c r="D4" s="12" t="str">
        <x:v>SI</x:v>
      </x:c>
      <x:c r="E4" s="12" t="n">
        <x:v>46174</x:v>
      </x:c>
    </x:row>
    <x:row r="5">
      <x:c r="A5" s="12" t="str">
        <x:v>mensaje_cierre_contratacion</x:v>
      </x:c>
      <x:c r="B5" s="12" t="str">
        <x:v>Listo, ya despertamos a nuestro manager 😄🎶 Te responderán por este mismo chat para coordinar los detalles.</x:v>
      </x:c>
      <x:c r="C5" s="12" t="str">
        <x:v>No mostrar código de solicitud al cliente</x:v>
      </x:c>
      <x:c r="D5" s="12" t="str">
        <x:v>SI</x:v>
      </x:c>
      <x:c r="E5" s="12" t="n">
        <x:v>46174</x:v>
      </x:c>
    </x:row>
    <x:row r="6">
      <x:c r="A6" s="12" t="str">
        <x:v>mensaje_sin_eventos</x:v>
      </x:c>
      <x:c r="B6" s="12" t="str">
        <x:v>Por ahora no tengo una fecha confirmada para esa localidad, pero apenas salga una presentación la vamos a pasar la voz 🎶</x:v>
      </x:c>
      <x:c r="C6" s="12" t="str">
        <x:v>Respuesta cuando no hay eventos</x:v>
      </x:c>
      <x:c r="D6" s="12" t="str">
        <x:v>SI</x:v>
      </x:c>
      <x:c r="E6" s="12" t="n">
        <x:v>46174</x:v>
      </x:c>
    </x:row>
    <x:row r="7">
      <x:c r="A7" s="12" t="str">
        <x:v>usar_numero_solicitud_cliente</x:v>
      </x:c>
      <x:c r="B7" s="12" t="str">
        <x:v>NO</x:v>
      </x:c>
      <x:c r="C7" s="12" t="str">
        <x:v>El cliente no debe ver el código de solicitud</x:v>
      </x:c>
      <x:c r="D7" s="12" t="str">
        <x:v>SI</x:v>
      </x:c>
      <x:c r="E7" s="12" t="n">
        <x:v>46174</x:v>
      </x:c>
    </x:row>
    <x:row r="8">
      <x:c r="A8" s="12" t="str">
        <x:v>timezone</x:v>
      </x:c>
      <x:c r="B8" s="12" t="str">
        <x:v>America/Lima</x:v>
      </x:c>
      <x:c r="C8" s="12" t="str">
        <x:v>Zona horaria principal</x:v>
      </x:c>
      <x:c r="D8" s="12" t="str">
        <x:v>SI</x:v>
      </x:c>
      <x:c r="E8" s="12" t="n">
        <x:v>46174</x:v>
      </x:c>
    </x:row>
  </x:sheetData>
  <x:pageMargins left="0.7" right="0.7" top="0.75" bottom="0.75" header="0.3" footer="0.3"/>
  <x:tableParts count="1">
    <x:tablePart xmlns:r="http://schemas.openxmlformats.org/officeDocument/2006/relationships" r:id="Rf6d6c8622c974f8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9.020000457763672" hidden="0" customWidth="1"/>
    <x:col min="4" max="4" width="6.860000133514404" hidden="0" customWidth="1"/>
    <x:col min="5" max="5" width="16" hidden="0" customWidth="1"/>
    <x:col min="6" max="6" width="7.809999942779541" hidden="0" customWidth="1"/>
    <x:col min="7" max="7" width="5.110000133514404" hidden="0" customWidth="1"/>
    <x:col min="8" max="8" width="28" hidden="0" customWidth="1"/>
    <x:col min="9" max="9" width="13.0600004196167" hidden="0" customWidth="1"/>
    <x:col min="10" max="10" width="21" hidden="0" customWidth="1"/>
    <x:col min="11" max="11" width="11.3100004196167" hidden="0" customWidth="1"/>
    <x:col min="12" max="12" width="12.380000114440918" hidden="0" customWidth="1"/>
    <x:col min="13" max="13" width="16.690000534057617" hidden="0" customWidth="1"/>
    <x:col min="14" max="14" width="25.030000686645508" hidden="0" customWidth="1"/>
    <x:col min="15" max="15" width="6.860000133514404" hidden="0" customWidth="1"/>
    <x:col min="16" max="16" width="6.730000019073486" hidden="0" customWidth="1"/>
    <x:col min="17" max="17" width="40" hidden="0" customWidth="1"/>
    <x:col min="18" max="18" width="35" hidden="0" customWidth="1"/>
    <x:col min="19" max="19" width="9.289999961853027" hidden="0" customWidth="1"/>
    <x:col min="20" max="20" width="12.25" hidden="0" customWidth="1"/>
    <x:col min="21" max="21" width="16.020000457763672" hidden="0" customWidth="1"/>
  </x:cols>
  <x:sheetData>
    <x:row r="1" ht="28" customHeight="1">
      <x:c r="A1" s="6" t="str">
        <x:v>id_evento</x:v>
      </x:c>
      <x:c r="B1" s="14" t="str">
        <x:v>fecha_evento</x:v>
      </x:c>
      <x:c r="C1" s="6" t="str">
        <x:v>hora_inicio</x:v>
      </x:c>
      <x:c r="D1" s="6" t="str">
        <x:v>hora_fin</x:v>
      </x:c>
      <x:c r="E1" s="6" t="str">
        <x:v>ciudad</x:v>
      </x:c>
      <x:c r="F1" s="6" t="str">
        <x:v>provincia</x:v>
      </x:c>
      <x:c r="G1" s="6" t="str">
        <x:v>region</x:v>
      </x:c>
      <x:c r="H1" s="6" t="str">
        <x:v>lugar</x:v>
      </x:c>
      <x:c r="I1" s="6" t="str">
        <x:v>direccion</x:v>
      </x:c>
      <x:c r="J1" s="6" t="str">
        <x:v>google_maps_url</x:v>
      </x:c>
      <x:c r="K1" s="6" t="str">
        <x:v>estado</x:v>
      </x:c>
      <x:c r="L1" s="6" t="str">
        <x:v>entrada_precio</x:v>
      </x:c>
      <x:c r="M1" s="6" t="str">
        <x:v>entrada_descripcion</x:v>
      </x:c>
      <x:c r="N1" s="6" t="str">
        <x:v>entrada_link</x:v>
      </x:c>
      <x:c r="O1" s="6" t="str">
        <x:v>flyer_url</x:v>
      </x:c>
      <x:c r="P1" s="6" t="str">
        <x:v>post_url</x:v>
      </x:c>
      <x:c r="Q1" s="6" t="str">
        <x:v>descripcion_publica</x:v>
      </x:c>
      <x:c r="R1" s="6" t="str">
        <x:v>notas_internas</x:v>
      </x:c>
      <x:c r="S1" s="6" t="str">
        <x:v>creado_por</x:v>
      </x:c>
      <x:c r="T1" s="14" t="str">
        <x:v>fecha_creacion</x:v>
      </x:c>
      <x:c r="U1" s="14" t="str">
        <x:v>fecha_actualizacion</x:v>
      </x:c>
    </x:row>
    <x:row r="2">
      <x:c r="A2" s="12" t="str">
        <x:v>EVT-2026-0001</x:v>
      </x:c>
      <x:c r="B2" s="12" t="n">
        <x:v>46188</x:v>
      </x:c>
      <x:c r="C2" s="12" t="str">
        <x:v>20:00</x:v>
      </x:c>
      <x:c r="D2" s="12" t="str">
        <x:v>23:30</x:v>
      </x:c>
      <x:c r="E2" s="12" t="str">
        <x:v>Huancayo</x:v>
      </x:c>
      <x:c r="F2" s="12" t="str">
        <x:v>Huancayo</x:v>
      </x:c>
      <x:c r="G2" s="12" t="str">
        <x:v>Junín</x:v>
      </x:c>
      <x:c r="H2" s="12" t="str">
        <x:v>Local comunal El Encanto</x:v>
      </x:c>
      <x:c r="I2" s="12" t="str">
        <x:v>Av. Principal 123</x:v>
      </x:c>
      <x:c r="J2" s="12" t="str">
        <x:v>https://maps.google.com/</x:v>
      </x:c>
      <x:c r="K2" s="12" t="str">
        <x:v>CONFIRMADO</x:v>
      </x:c>
      <x:c r="L2" s="12" t="str">
        <x:v>S/20</x:v>
      </x:c>
      <x:c r="M2" s="12" t="str">
        <x:v>Entrada general</x:v>
      </x:c>
      <x:c r="N2" s="12" t="str">
        <x:v>https://entradas.example.com/</x:v>
      </x:c>
      <x:c r="O2" s="12" t="str"/>
      <x:c r="P2" s="12" t="str"/>
      <x:c r="Q2" s="12" t="str">
        <x:v>Presentación especial de Carlos Fer y Agrup. Cariño Lindo.</x:v>
      </x:c>
      <x:c r="R2" s="12" t="str">
        <x:v>Evento de prueba para validación</x:v>
      </x:c>
      <x:c r="S2" s="12" t="str">
        <x:v>ADM-001</x:v>
      </x:c>
      <x:c r="T2" s="12" t="n">
        <x:v>46174</x:v>
      </x:c>
      <x:c r="U2" s="12" t="n">
        <x:v>46174</x:v>
      </x:c>
    </x:row>
    <x:row r="3">
      <x:c r="A3" s="12" t="str">
        <x:v>EVT-2026-0002</x:v>
      </x:c>
      <x:c r="B3" s="12" t="n">
        <x:v>46208</x:v>
      </x:c>
      <x:c r="C3" s="12" t="str">
        <x:v>21:00</x:v>
      </x:c>
      <x:c r="D3" s="12" t="str"/>
      <x:c r="E3" s="12" t="str">
        <x:v>Tarma</x:v>
      </x:c>
      <x:c r="F3" s="12" t="str">
        <x:v>Tarma</x:v>
      </x:c>
      <x:c r="G3" s="12" t="str">
        <x:v>Junín</x:v>
      </x:c>
      <x:c r="H3" s="12" t="str">
        <x:v>Plaza principal</x:v>
      </x:c>
      <x:c r="I3" s="12" t="str"/>
      <x:c r="J3" s="12" t="str"/>
      <x:c r="K3" s="12" t="str">
        <x:v>BORRADOR</x:v>
      </x:c>
      <x:c r="L3" s="12" t="str"/>
      <x:c r="M3" s="12" t="str">
        <x:v>Por confirmar</x:v>
      </x:c>
      <x:c r="N3" s="12" t="str"/>
      <x:c r="O3" s="12" t="str"/>
      <x:c r="P3" s="12" t="str"/>
      <x:c r="Q3" s="12" t="str">
        <x:v>Evento referencial pendiente de confirmación.</x:v>
      </x:c>
      <x:c r="R3" s="12" t="str">
        <x:v>No mostrar hasta confirmar</x:v>
      </x:c>
      <x:c r="S3" s="12" t="str">
        <x:v>ADM-001</x:v>
      </x:c>
      <x:c r="T3" s="12" t="n">
        <x:v>46174</x:v>
      </x:c>
      <x:c r="U3" s="12" t="n">
        <x:v>46174</x:v>
      </x:c>
    </x:row>
  </x:sheetData>
  <x:conditionalFormatting sqref="K2:K1000">
    <x:cfRule type="expression" dxfId="2" priority="1">
      <x:formula>K2="CONFIRMADO"</x:formula>
    </x:cfRule>
  </x:conditionalFormatting>
  <x:dataValidations count="1">
    <x:dataValidation type="list" sqref="K2:K1000">
      <x:formula1>"BORRADOR,CONFIRMADO,CANCELADO,FINALIZADO"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b886b603d6463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18" hidden="0" customWidth="1"/>
    <x:col min="5" max="5" width="24" hidden="0" customWidth="1"/>
    <x:col min="6" max="6" width="14.539999961853027" hidden="0" customWidth="1"/>
    <x:col min="7" max="7" width="16" hidden="0" customWidth="1"/>
    <x:col min="8" max="8" width="18" hidden="0" customWidth="1"/>
    <x:col min="9" max="9" width="11.039999961853027" hidden="0" customWidth="1"/>
    <x:col min="10" max="10" width="12.520000457763672" hidden="0" customWidth="1"/>
    <x:col min="11" max="11" width="15.34000015258789" hidden="0" customWidth="1"/>
    <x:col min="12" max="12" width="13.460000038146973" hidden="0" customWidth="1"/>
    <x:col min="13" max="13" width="12.789999961853027" hidden="0" customWidth="1"/>
    <x:col min="14" max="14" width="40" hidden="0" customWidth="1"/>
    <x:col min="15" max="15" width="20.729999542236328" hidden="0" customWidth="1"/>
    <x:col min="16" max="16" width="40" hidden="0" customWidth="1"/>
    <x:col min="17" max="17" width="8.880000114440918" hidden="0" customWidth="1"/>
  </x:cols>
  <x:sheetData>
    <x:row r="1" ht="28" customHeight="1">
      <x:c r="A1" s="6" t="str">
        <x:v>codigo_solicitud</x:v>
      </x:c>
      <x:c r="B1" s="16" t="str">
        <x:v>fecha_registro</x:v>
      </x:c>
      <x:c r="C1" s="6" t="str">
        <x:v>estado</x:v>
      </x:c>
      <x:c r="D1" s="6" t="str">
        <x:v>numero_cliente</x:v>
      </x:c>
      <x:c r="E1" s="6" t="str">
        <x:v>nombre_o_dni</x:v>
      </x:c>
      <x:c r="F1" s="6" t="str">
        <x:v>numero_contacto</x:v>
      </x:c>
      <x:c r="G1" s="6" t="str">
        <x:v>localidad</x:v>
      </x:c>
      <x:c r="H1" s="6" t="str">
        <x:v>tipo_evento</x:v>
      </x:c>
      <x:c r="I1" s="14" t="str">
        <x:v>fecha_evento</x:v>
      </x:c>
      <x:c r="J1" s="6" t="str">
        <x:v>horario_evento</x:v>
      </x:c>
      <x:c r="K1" s="6" t="str">
        <x:v>cantidad_personas</x:v>
      </x:c>
      <x:c r="L1" s="6" t="str">
        <x:v>admin_asignado</x:v>
      </x:c>
      <x:c r="M1" s="6" t="str">
        <x:v>modo_atencion</x:v>
      </x:c>
      <x:c r="N1" s="6" t="str">
        <x:v>ultimo_mensaje_cliente</x:v>
      </x:c>
      <x:c r="O1" s="16" t="str">
        <x:v>fecha_ultima_interaccion</x:v>
      </x:c>
      <x:c r="P1" s="6" t="str">
        <x:v>observaciones</x:v>
      </x:c>
      <x:c r="Q1" s="6" t="str">
        <x:v>origen</x:v>
      </x:c>
    </x:row>
    <x:row r="2">
      <x:c r="A2" s="12" t="str">
        <x:v>SOL-2026-0001</x:v>
      </x:c>
      <x:c r="B2" s="12" t="n">
        <x:v>46174</x:v>
      </x:c>
      <x:c r="C2" s="12" t="str">
        <x:v>ABIERTA</x:v>
      </x:c>
      <x:c r="D2" s="12" t="str">
        <x:v>+51999999999</x:v>
      </x:c>
      <x:c r="E2" s="12" t="str">
        <x:v>Juan Pérez</x:v>
      </x:c>
      <x:c r="F2" s="12" t="str">
        <x:v>+51999999999</x:v>
      </x:c>
      <x:c r="G2" s="12" t="str">
        <x:v>Huancayo</x:v>
      </x:c>
      <x:c r="H2" s="12" t="str">
        <x:v>Matrimonio</x:v>
      </x:c>
      <x:c r="I2" s="12" t="n">
        <x:v>46249</x:v>
      </x:c>
      <x:c r="J2" s="12" t="str">
        <x:v>20:00</x:v>
      </x:c>
      <x:c r="K2" s="12" t="n">
        <x:v>150</x:v>
      </x:c>
      <x:c r="L2" s="12" t="str"/>
      <x:c r="M2" s="12" t="str">
        <x:v>BOT</x:v>
      </x:c>
      <x:c r="N2" s="12" t="str">
        <x:v>Usar este mismo WhatsApp</x:v>
      </x:c>
      <x:c r="O2" s="12" t="n">
        <x:v>46174</x:v>
      </x:c>
      <x:c r="P2" s="12" t="str">
        <x:v>Solicitud de ejemplo. Cliente no ve el código.</x:v>
      </x:c>
      <x:c r="Q2" s="12" t="str">
        <x:v>WHATSAPP</x:v>
      </x:c>
    </x:row>
  </x:sheetData>
  <x:conditionalFormatting sqref="C2:C1000">
    <x:cfRule type="expression" dxfId="0" priority="1">
      <x:formula>C2="ABIERTA"</x:formula>
    </x:cfRule>
  </x:conditionalFormatting>
  <x:dataValidations count="2">
    <x:dataValidation type="list" sqref="C2:C1000">
      <x:formula1>"ABIERTA,EN_SEGUIMIENTO,TOMADA_POR_ADMIN,EN_CONVERSACION,COTIZADA,CERRADA,DESCARTADA"</x:formula1>
    </x:dataValidation>
    <x:dataValidation type="list" sqref="M2:M1000">
      <x:formula1>"BOT,ADMIN,SEGUIMIENTO"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fae33f37e6479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11.569999694824219" hidden="0" customWidth="1"/>
    <x:col min="3" max="3" width="12.789999961853027" hidden="0" customWidth="1"/>
    <x:col min="4" max="4" width="7.269999980926514" hidden="0" customWidth="1"/>
    <x:col min="5" max="5" width="7.539999961853027" hidden="0" customWidth="1"/>
    <x:col min="6" max="6" width="40" hidden="0" customWidth="1"/>
    <x:col min="7" max="7" width="10.229999542236328" hidden="0" customWidth="1"/>
    <x:col min="8" max="8" width="8.880000114440918" hidden="0" customWidth="1"/>
  </x:cols>
  <x:sheetData>
    <x:row r="1" ht="28" customHeight="1">
      <x:c r="A1" s="6" t="str">
        <x:v>id_interes</x:v>
      </x:c>
      <x:c r="B1" s="6" t="str">
        <x:v>fecha_registro</x:v>
      </x:c>
      <x:c r="C1" s="6" t="str">
        <x:v>numero_cliente</x:v>
      </x:c>
      <x:c r="D1" s="6" t="str">
        <x:v>localidad</x:v>
      </x:c>
      <x:c r="E1" s="6" t="str">
        <x:v>intencion</x:v>
      </x:c>
      <x:c r="F1" s="6" t="str">
        <x:v>mensaje_original</x:v>
      </x:c>
      <x:c r="G1" s="6" t="str">
        <x:v>estado</x:v>
      </x:c>
      <x:c r="H1" s="6" t="str">
        <x:v>origen</x:v>
      </x:c>
    </x:row>
    <x:row r="2">
      <x:c r="A2" s="12" t="str">
        <x:v>INT-2026-0001</x:v>
      </x:c>
      <x:c r="B2" s="12" t="n">
        <x:v>46174</x:v>
      </x:c>
      <x:c r="C2" s="12" t="str">
        <x:v>+51911111111</x:v>
      </x:c>
      <x:c r="D2" s="12" t="str">
        <x:v>Lima</x:v>
      </x:c>
      <x:c r="E2" s="12" t="str">
        <x:v>EVENTOS</x:v>
      </x:c>
      <x:c r="F2" s="12" t="str">
        <x:v>tocan en lima?</x:v>
      </x:c>
      <x:c r="G2" s="12" t="str">
        <x:v>REGISTRADO</x:v>
      </x:c>
      <x:c r="H2" s="12" t="str">
        <x:v>WHATSAPP</x:v>
      </x:c>
    </x:row>
  </x:sheetData>
  <x:pageMargins left="0.7" right="0.7" top="0.75" bottom="0.75" header="0.3" footer="0.3"/>
  <x:tableParts count="1">
    <x:tablePart xmlns:r="http://schemas.openxmlformats.org/officeDocument/2006/relationships" r:id="R8d57422fa3494e7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609999656677246" hidden="0" customWidth="1"/>
    <x:col min="2" max="2" width="18" hidden="0" customWidth="1"/>
    <x:col min="3" max="3" width="24" hidden="0" customWidth="1"/>
    <x:col min="4" max="4" width="10.359999656677246" hidden="0" customWidth="1"/>
    <x:col min="5" max="5" width="16.549999237060547" hidden="0" customWidth="1"/>
    <x:col min="6" max="6" width="16.420000076293945" hidden="0" customWidth="1"/>
    <x:col min="7" max="7" width="15.210000038146973" hidden="0" customWidth="1"/>
    <x:col min="8" max="8" width="5.920000076293945" hidden="0" customWidth="1"/>
    <x:col min="9" max="9" width="40" hidden="0" customWidth="1"/>
  </x:cols>
  <x:sheetData>
    <x:row r="1" ht="28" customHeight="1">
      <x:c r="A1" s="6" t="str">
        <x:v>id_usuario</x:v>
      </x:c>
      <x:c r="B1" s="6" t="str">
        <x:v>numero_whatsapp</x:v>
      </x:c>
      <x:c r="C1" s="6" t="str">
        <x:v>nombre_mostrado</x:v>
      </x:c>
      <x:c r="D1" s="6" t="str">
        <x:v>tipo_usuario</x:v>
      </x:c>
      <x:c r="E1" s="6" t="str">
        <x:v>localidad_detectada</x:v>
      </x:c>
      <x:c r="F1" s="6" t="str">
        <x:v>primera_interaccion</x:v>
      </x:c>
      <x:c r="G1" s="6" t="str">
        <x:v>ultima_interaccion</x:v>
      </x:c>
      <x:c r="H1" s="6" t="str">
        <x:v>estado</x:v>
      </x:c>
      <x:c r="I1" s="6" t="str">
        <x:v>notas</x:v>
      </x:c>
    </x:row>
    <x:row r="2">
      <x:c r="A2" s="12" t="str">
        <x:v>USR-0001</x:v>
      </x:c>
      <x:c r="B2" s="12" t="str">
        <x:v>+51999999999</x:v>
      </x:c>
      <x:c r="C2" s="12" t="str">
        <x:v>Juan</x:v>
      </x:c>
      <x:c r="D2" s="12" t="str">
        <x:v>CLIENTE</x:v>
      </x:c>
      <x:c r="E2" s="12" t="str">
        <x:v>Huancayo</x:v>
      </x:c>
      <x:c r="F2" s="12" t="n">
        <x:v>46174</x:v>
      </x:c>
      <x:c r="G2" s="12" t="n">
        <x:v>46174</x:v>
      </x:c>
      <x:c r="H2" s="12" t="str">
        <x:v>ACTIVO</x:v>
      </x:c>
      <x:c r="I2" s="12" t="str">
        <x:v>Usuario de prueba</x:v>
      </x:c>
    </x:row>
  </x:sheetData>
  <x:dataValidations count="1">
    <x:dataValidation type="list" sqref="D2:D1000">
      <x:formula1>"CLIENTE,ADMIN,DESCONOCIDO"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981ed0e4ae4a4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.789999961853027" hidden="0" customWidth="1"/>
    <x:col min="3" max="3" width="18" hidden="0" customWidth="1"/>
    <x:col min="4" max="4" width="20" hidden="0" customWidth="1"/>
    <x:col min="5" max="5" width="20" hidden="0" customWidth="1"/>
    <x:col min="6" max="6" width="22" hidden="0" customWidth="1"/>
    <x:col min="7" max="7" width="14.9399995803833" hidden="0" customWidth="1"/>
    <x:col min="8" max="8" width="9.6899995803833" hidden="0" customWidth="1"/>
    <x:col min="9" max="9" width="20.729999542236328" hidden="0" customWidth="1"/>
    <x:col min="10" max="10" width="45" hidden="0" customWidth="1"/>
  </x:cols>
  <x:sheetData>
    <x:row r="1" ht="28" customHeight="1">
      <x:c r="A1" s="6" t="str">
        <x:v>id_conversacion</x:v>
      </x:c>
      <x:c r="B1" s="6" t="str">
        <x:v>numero_cliente</x:v>
      </x:c>
      <x:c r="C1" s="6" t="str">
        <x:v>codigo_solicitud</x:v>
      </x:c>
      <x:c r="D1" s="6" t="str">
        <x:v>estado_conversacion</x:v>
      </x:c>
      <x:c r="E1" s="6" t="str">
        <x:v>intencion_actual</x:v>
      </x:c>
      <x:c r="F1" s="6" t="str">
        <x:v>paso_actual</x:v>
      </x:c>
      <x:c r="G1" s="6" t="str">
        <x:v>admin_en_control</x:v>
      </x:c>
      <x:c r="H1" s="6" t="str">
        <x:v>fecha_inicio</x:v>
      </x:c>
      <x:c r="I1" s="6" t="str">
        <x:v>fecha_ultima_interaccion</x:v>
      </x:c>
      <x:c r="J1" s="6" t="str">
        <x:v>resumen</x:v>
      </x:c>
    </x:row>
    <x:row r="2">
      <x:c r="A2" s="12" t="str">
        <x:v>CONV-0001</x:v>
      </x:c>
      <x:c r="B2" s="12" t="str">
        <x:v>+51999999999</x:v>
      </x:c>
      <x:c r="C2" s="12" t="str">
        <x:v>SOL-2026-0001</x:v>
      </x:c>
      <x:c r="D2" s="12" t="str">
        <x:v>ABIERTA</x:v>
      </x:c>
      <x:c r="E2" s="12" t="str">
        <x:v>CONTRATACION</x:v>
      </x:c>
      <x:c r="F2" s="12" t="str">
        <x:v>DATOS_FINALES</x:v>
      </x:c>
      <x:c r="G2" s="12" t="str"/>
      <x:c r="H2" s="12" t="n">
        <x:v>46174</x:v>
      </x:c>
      <x:c r="I2" s="12" t="n">
        <x:v>46174</x:v>
      </x:c>
      <x:c r="J2" s="12" t="str">
        <x:v>Cliente pidió cotización para matrimonio en Huancayo.</x:v>
      </x:c>
    </x:row>
  </x:sheetData>
  <x:pageMargins left="0.7" right="0.7" top="0.75" bottom="0.75" header="0.3" footer="0.3"/>
  <x:tableParts count="1">
    <x:tablePart xmlns:r="http://schemas.openxmlformats.org/officeDocument/2006/relationships" r:id="Rb44b4502bee349b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.420000076293945" hidden="0" customWidth="1"/>
    <x:col min="2" max="2" width="13.1899995803833" hidden="0" customWidth="1"/>
    <x:col min="3" max="3" width="9.149999618530273" hidden="0" customWidth="1"/>
    <x:col min="4" max="4" width="12.520000457763672" hidden="0" customWidth="1"/>
    <x:col min="5" max="5" width="9.420000076293945" hidden="0" customWidth="1"/>
    <x:col min="6" max="6" width="45" hidden="0" customWidth="1"/>
    <x:col min="7" max="7" width="16.81999969482422" hidden="0" customWidth="1"/>
    <x:col min="8" max="8" width="7.670000076293945" hidden="0" customWidth="1"/>
    <x:col min="9" max="9" width="55" hidden="0" customWidth="1"/>
    <x:col min="10" max="10" width="10.899999618530273" hidden="0" customWidth="1"/>
  </x:cols>
  <x:sheetData>
    <x:row r="1" ht="28" customHeight="1">
      <x:c r="A1" s="6" t="str">
        <x:v>id_mensaje</x:v>
      </x:c>
      <x:c r="B1" s="6" t="str">
        <x:v>id_conversacion</x:v>
      </x:c>
      <x:c r="C1" s="16" t="str">
        <x:v>fecha_hora</x:v>
      </x:c>
      <x:c r="D1" s="6" t="str">
        <x:v>numero_origen</x:v>
      </x:c>
      <x:c r="E1" s="6" t="str">
        <x:v>tipo_origen</x:v>
      </x:c>
      <x:c r="F1" s="6" t="str">
        <x:v>mensaje</x:v>
      </x:c>
      <x:c r="G1" s="6" t="str">
        <x:v>intencion_detectada</x:v>
      </x:c>
      <x:c r="H1" s="6" t="str">
        <x:v>confianza</x:v>
      </x:c>
      <x:c r="I1" s="6" t="str">
        <x:v>respuesta_bot</x:v>
      </x:c>
      <x:c r="J1" s="6" t="str">
        <x:v>estado_envio</x:v>
      </x:c>
    </x:row>
    <x:row r="2">
      <x:c r="A2" s="12" t="str">
        <x:v>MSG-0001</x:v>
      </x:c>
      <x:c r="B2" s="12" t="str">
        <x:v>CONV-0001</x:v>
      </x:c>
      <x:c r="C2" s="12" t="n">
        <x:v>46174</x:v>
      </x:c>
      <x:c r="D2" s="12" t="str">
        <x:v>+51999999999</x:v>
      </x:c>
      <x:c r="E2" s="12" t="str">
        <x:v>CLIENTE</x:v>
      </x:c>
      <x:c r="F2" s="12" t="str">
        <x:v>Quiero contratarlos</x:v>
      </x:c>
      <x:c r="G2" s="12" t="str">
        <x:v>CONTRATACION</x:v>
      </x:c>
      <x:c r="H2" s="12" t="n">
        <x:v>0.95</x:v>
      </x:c>
      <x:c r="I2" s="12" t="str">
        <x:v>Qué buena fecha se viene 🎶 Cuéntame rapidito: fecha, localidad, tipo de evento y hora.</x:v>
      </x:c>
      <x:c r="J2" s="12" t="str">
        <x:v>ENVIADO</x:v>
      </x:c>
    </x:row>
  </x:sheetData>
  <x:dataValidations count="2">
    <x:dataValidation type="list" sqref="G2:G1000">
      <x:formula1>"GREETING,EVENTOS,CONTRATACION,CONOCE_AGRUPACION,ADMIN_REGISTRAR_EVENTO,UNKNOWN"</x:formula1>
    </x:dataValidation>
    <x:dataValidation type="list" sqref="J2:J1000">
      <x:formula1>"RECIBIDO,ENVIADO,ERROR"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d723c5576f4e2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7.130000114440918" hidden="0" customWidth="1"/>
    <x:col min="3" max="3" width="18" hidden="0" customWidth="1"/>
    <x:col min="4" max="4" width="8.479999542236328" hidden="0" customWidth="1"/>
    <x:col min="5" max="5" width="4.849999904632568" hidden="0" customWidth="1"/>
    <x:col min="6" max="6" width="17.899999618530273" hidden="0" customWidth="1"/>
    <x:col min="7" max="7" width="21.670000076293945" hidden="0" customWidth="1"/>
    <x:col min="8" max="8" width="17.360000610351562" hidden="0" customWidth="1"/>
    <x:col min="9" max="9" width="11.569999694824219" hidden="0" customWidth="1"/>
    <x:col min="10" max="10" width="40" hidden="0" customWidth="1"/>
  </x:cols>
  <x:sheetData>
    <x:row r="1" ht="28" customHeight="1">
      <x:c r="A1" s="6" t="str">
        <x:v>id_admin</x:v>
      </x:c>
      <x:c r="B1" s="6" t="str">
        <x:v>nombre</x:v>
      </x:c>
      <x:c r="C1" s="6" t="str">
        <x:v>telefono_whatsapp</x:v>
      </x:c>
      <x:c r="D1" s="6" t="str">
        <x:v>rol</x:v>
      </x:c>
      <x:c r="E1" s="6" t="str">
        <x:v>activo</x:v>
      </x:c>
      <x:c r="F1" s="6" t="str">
        <x:v>puede_tomar_control</x:v>
      </x:c>
      <x:c r="G1" s="6" t="str">
        <x:v>puede_hacer_seguimiento</x:v>
      </x:c>
      <x:c r="H1" s="6" t="str">
        <x:v>recibe_notificaciones</x:v>
      </x:c>
      <x:c r="I1" s="6" t="str">
        <x:v>fecha_registro</x:v>
      </x:c>
      <x:c r="J1" s="6" t="str">
        <x:v>notas</x:v>
      </x:c>
    </x:row>
    <x:row r="2">
      <x:c r="A2" s="12" t="str">
        <x:v>ADM-001</x:v>
      </x:c>
      <x:c r="B2" s="12" t="str">
        <x:v>Manager</x:v>
      </x:c>
      <x:c r="C2" s="12" t="str">
        <x:v>+51999999999</x:v>
      </x:c>
      <x:c r="D2" s="12" t="str">
        <x:v>MANAGER</x:v>
      </x:c>
      <x:c r="E2" s="12" t="str">
        <x:v>SI</x:v>
      </x:c>
      <x:c r="F2" s="12" t="str">
        <x:v>SI</x:v>
      </x:c>
      <x:c r="G2" s="12" t="str">
        <x:v>SI</x:v>
      </x:c>
      <x:c r="H2" s="12" t="str">
        <x:v>SI</x:v>
      </x:c>
      <x:c r="I2" s="12" t="n">
        <x:v>46174</x:v>
      </x:c>
      <x:c r="J2" s="12" t="str">
        <x:v>Cambiar por número real del administrador</x:v>
      </x:c>
    </x:row>
    <x:row r="3">
      <x:c r="A3" s="12" t="str">
        <x:v>ADM-002</x:v>
      </x:c>
      <x:c r="B3" s="12" t="str">
        <x:v>Carlos</x:v>
      </x:c>
      <x:c r="C3" s="12" t="str">
        <x:v>+51988888888</x:v>
      </x:c>
      <x:c r="D3" s="12" t="str">
        <x:v>ADMIN</x:v>
      </x:c>
      <x:c r="E3" s="12" t="str">
        <x:v>SI</x:v>
      </x:c>
      <x:c r="F3" s="12" t="str">
        <x:v>SI</x:v>
      </x:c>
      <x:c r="G3" s="12" t="str">
        <x:v>SI</x:v>
      </x:c>
      <x:c r="H3" s="12" t="str">
        <x:v>SI</x:v>
      </x:c>
      <x:c r="I3" s="12" t="n">
        <x:v>46174</x:v>
      </x:c>
      <x:c r="J3" s="12" t="str">
        <x:v>Administrador de prueba</x:v>
      </x:c>
    </x:row>
  </x:sheetData>
  <x:dataValidations count="2">
    <x:dataValidation type="list" sqref="E2:H1000">
      <x:formula1>"SI,NO"</x:formula1>
    </x:dataValidation>
    <x:dataValidation type="list" sqref="D2:D1000">
      <x:formula1>"MANAGER,ADMIN,SEGUIMIENTO"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5b6af9b11e4f7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7.670000076293945" hidden="0" customWidth="1"/>
    <x:col min="4" max="4" width="18" hidden="0" customWidth="1"/>
    <x:col min="5" max="5" width="9.020000457763672" hidden="0" customWidth="1"/>
    <x:col min="6" max="6" width="35" hidden="0" customWidth="1"/>
    <x:col min="7" max="7" width="35" hidden="0" customWidth="1"/>
    <x:col min="8" max="8" width="12.25" hidden="0" customWidth="1"/>
    <x:col min="9" max="9" width="16.020000457763672" hidden="0" customWidth="1"/>
  </x:cols>
  <x:sheetData>
    <x:row r="1" ht="28" customHeight="1">
      <x:c r="A1" s="6" t="str">
        <x:v>id_seguimiento</x:v>
      </x:c>
      <x:c r="B1" s="6" t="str">
        <x:v>codigo_solicitud</x:v>
      </x:c>
      <x:c r="C1" s="6" t="str">
        <x:v>admin_id</x:v>
      </x:c>
      <x:c r="D1" s="6" t="str">
        <x:v>fecha_programada</x:v>
      </x:c>
      <x:c r="E1" s="6" t="str">
        <x:v>estado</x:v>
      </x:c>
      <x:c r="F1" s="6" t="str">
        <x:v>accion</x:v>
      </x:c>
      <x:c r="G1" s="6" t="str">
        <x:v>resultado</x:v>
      </x:c>
      <x:c r="H1" s="6" t="str">
        <x:v>fecha_creacion</x:v>
      </x:c>
      <x:c r="I1" s="6" t="str">
        <x:v>fecha_actualizacion</x:v>
      </x:c>
    </x:row>
    <x:row r="2">
      <x:c r="A2" s="12" t="str">
        <x:v>SEG-0001</x:v>
      </x:c>
      <x:c r="B2" s="12" t="str">
        <x:v>SOL-2026-0001</x:v>
      </x:c>
      <x:c r="C2" s="12" t="str">
        <x:v>ADM-001</x:v>
      </x:c>
      <x:c r="D2" s="12" t="n">
        <x:v>46175.416666666664</x:v>
      </x:c>
      <x:c r="E2" s="12" t="str">
        <x:v>PENDIENTE</x:v>
      </x:c>
      <x:c r="F2" s="12" t="str">
        <x:v>Responder cotización inicial</x:v>
      </x:c>
      <x:c r="G2" s="12" t="str"/>
      <x:c r="H2" s="12" t="n">
        <x:v>46174</x:v>
      </x:c>
      <x:c r="I2" s="12" t="n">
        <x:v>46174</x:v>
      </x:c>
    </x:row>
  </x:sheetData>
  <x:pageMargins left="0.7" right="0.7" top="0.75" bottom="0.75" header="0.3" footer="0.3"/>
  <x:tableParts count="1">
    <x:tablePart xmlns:r="http://schemas.openxmlformats.org/officeDocument/2006/relationships" r:id="R2b201a8264634ff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24" hidden="0" customWidth="1"/>
    <x:col min="3" max="3" width="4.039999961853027" hidden="0" customWidth="1"/>
    <x:col min="4" max="4" width="7.809999942779541" hidden="0" customWidth="1"/>
    <x:col min="5" max="5" width="12.649999618530273" hidden="0" customWidth="1"/>
    <x:col min="6" max="6" width="8.880000114440918" hidden="0" customWidth="1"/>
    <x:col min="7" max="7" width="35" hidden="0" customWidth="1"/>
  </x:cols>
  <x:sheetData>
    <x:row r="1" ht="28" customHeight="1">
      <x:c r="A1" s="14" t="str">
        <x:v>fecha</x:v>
      </x:c>
      <x:c r="B1" s="6" t="str">
        <x:v>metrica</x:v>
      </x:c>
      <x:c r="C1" s="6" t="str">
        <x:v>valor</x:v>
      </x:c>
      <x:c r="D1" s="6" t="str">
        <x:v>localidad</x:v>
      </x:c>
      <x:c r="E1" s="6" t="str">
        <x:v>intencion</x:v>
      </x:c>
      <x:c r="F1" s="6" t="str">
        <x:v>canal</x:v>
      </x:c>
      <x:c r="G1" s="6" t="str">
        <x:v>observaciones</x:v>
      </x:c>
    </x:row>
    <x:row r="2">
      <x:c r="A2" s="12" t="n">
        <x:v>46174</x:v>
      </x:c>
      <x:c r="B2" s="12" t="str">
        <x:v>mensajes_recibidos</x:v>
      </x:c>
      <x:c r="C2" s="12" t="n">
        <x:v>1</x:v>
      </x:c>
      <x:c r="D2" s="12" t="str">
        <x:v>Huancayo</x:v>
      </x:c>
      <x:c r="E2" s="12" t="str">
        <x:v>CONTRATACION</x:v>
      </x:c>
      <x:c r="F2" s="12" t="str">
        <x:v>WHATSAPP</x:v>
      </x:c>
      <x:c r="G2" s="12" t="str">
        <x:v>Carga inicial</x:v>
      </x:c>
    </x:row>
    <x:row r="3">
      <x:c r="A3" s="12" t="n">
        <x:v>46174</x:v>
      </x:c>
      <x:c r="B3" s="12" t="str">
        <x:v>solicitudes_abiertas</x:v>
      </x:c>
      <x:c r="C3" s="12" t="n">
        <x:v>1</x:v>
      </x:c>
      <x:c r="D3" s="12" t="str">
        <x:v>Huancayo</x:v>
      </x:c>
      <x:c r="E3" s="12" t="str">
        <x:v>CONTRATACION</x:v>
      </x:c>
      <x:c r="F3" s="12" t="str">
        <x:v>WHATSAPP</x:v>
      </x:c>
      <x:c r="G3" s="12" t="str">
        <x:v>Carga inicial</x:v>
      </x:c>
    </x:row>
    <x:row r="4">
      <x:c r="A4" s="12" t="n">
        <x:v>46174</x:v>
      </x:c>
      <x:c r="B4" s="12" t="str">
        <x:v>consultas_eventos</x:v>
      </x:c>
      <x:c r="C4" s="12" t="n">
        <x:v>1</x:v>
      </x:c>
      <x:c r="D4" s="12" t="str">
        <x:v>Lima</x:v>
      </x:c>
      <x:c r="E4" s="12" t="str">
        <x:v>EVENTOS</x:v>
      </x:c>
      <x:c r="F4" s="12" t="str">
        <x:v>WHATSAPP</x:v>
      </x:c>
      <x:c r="G4" s="12" t="str">
        <x:v>Carga inicial</x:v>
      </x:c>
    </x:row>
  </x:sheetData>
  <x:pageMargins left="0.7" right="0.7" top="0.75" bottom="0.75" header="0.3" footer="0.3"/>
  <x:tableParts count="1">
    <x:tablePart xmlns:r="http://schemas.openxmlformats.org/officeDocument/2006/relationships" r:id="Rcb74a3473aa443b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11.569999694824219" hidden="0" customWidth="1"/>
    <x:col min="3" max="3" width="24" hidden="0" customWidth="1"/>
    <x:col min="4" max="4" width="45" hidden="0" customWidth="1"/>
    <x:col min="5" max="5" width="35" hidden="0" customWidth="1"/>
    <x:col min="6" max="6" width="4.849999904632568" hidden="0" customWidth="1"/>
    <x:col min="7" max="7" width="7.539999961853027" hidden="0" customWidth="1"/>
    <x:col min="8" max="8" width="16.020000457763672" hidden="0" customWidth="1"/>
  </x:cols>
  <x:sheetData>
    <x:row r="1" ht="28" customHeight="1">
      <x:c r="A1" s="6" t="str">
        <x:v>id_contenido</x:v>
      </x:c>
      <x:c r="B1" s="6" t="str">
        <x:v>categoria</x:v>
      </x:c>
      <x:c r="C1" s="6" t="str">
        <x:v>titulo</x:v>
      </x:c>
      <x:c r="D1" s="6" t="str">
        <x:v>descripcion</x:v>
      </x:c>
      <x:c r="E1" s="6" t="str">
        <x:v>url</x:v>
      </x:c>
      <x:c r="F1" s="6" t="str">
        <x:v>activo</x:v>
      </x:c>
      <x:c r="G1" s="6" t="str">
        <x:v>prioridad</x:v>
      </x:c>
      <x:c r="H1" s="6" t="str">
        <x:v>fecha_actualizacion</x:v>
      </x:c>
    </x:row>
    <x:row r="2">
      <x:c r="A2" s="12" t="str">
        <x:v>CONT-001</x:v>
      </x:c>
      <x:c r="B2" s="12" t="str">
        <x:v>QUIENES_SON</x:v>
      </x:c>
      <x:c r="C2" s="12" t="str">
        <x:v>¿Quiénes son?</x:v>
      </x:c>
      <x:c r="D2" s="12" t="str">
        <x:v>Agrupación que lleva música, alegría y sentimiento a cada presentación 🎶</x:v>
      </x:c>
      <x:c r="E2" s="12" t="str"/>
      <x:c r="F2" s="12" t="str">
        <x:v>SI</x:v>
      </x:c>
      <x:c r="G2" s="12" t="n">
        <x:v>1</x:v>
      </x:c>
      <x:c r="H2" s="12" t="n">
        <x:v>46174</x:v>
      </x:c>
    </x:row>
    <x:row r="3">
      <x:c r="A3" s="12" t="str">
        <x:v>CONT-002</x:v>
      </x:c>
      <x:c r="B3" s="12" t="str">
        <x:v>VIDEO</x:v>
      </x:c>
      <x:c r="C3" s="12" t="str">
        <x:v>Video principal</x:v>
      </x:c>
      <x:c r="D3" s="12" t="str">
        <x:v>Presentación destacada para compartir con interesados</x:v>
      </x:c>
      <x:c r="E3" s="12" t="str">
        <x:v>https://youtube.com/</x:v>
      </x:c>
      <x:c r="F3" s="12" t="str">
        <x:v>SI</x:v>
      </x:c>
      <x:c r="G3" s="12" t="n">
        <x:v>1</x:v>
      </x:c>
      <x:c r="H3" s="12" t="n">
        <x:v>46174</x:v>
      </x:c>
    </x:row>
    <x:row r="4">
      <x:c r="A4" s="12" t="str">
        <x:v>CONT-003</x:v>
      </x:c>
      <x:c r="B4" s="12" t="str">
        <x:v>MUSICA</x:v>
      </x:c>
      <x:c r="C4" s="12" t="str">
        <x:v>Canciones</x:v>
      </x:c>
      <x:c r="D4" s="12" t="str">
        <x:v>Lista o enlace de música oficial</x:v>
      </x:c>
      <x:c r="E4" s="12" t="str">
        <x:v>https://youtube.com/</x:v>
      </x:c>
      <x:c r="F4" s="12" t="str">
        <x:v>SI</x:v>
      </x:c>
      <x:c r="G4" s="12" t="n">
        <x:v>2</x:v>
      </x:c>
      <x:c r="H4" s="12" t="n">
        <x:v>46174</x:v>
      </x:c>
    </x:row>
    <x:row r="5">
      <x:c r="A5" s="12" t="str">
        <x:v>CONT-004</x:v>
      </x:c>
      <x:c r="B5" s="12" t="str">
        <x:v>RED_SOCIAL</x:v>
      </x:c>
      <x:c r="C5" s="12" t="str">
        <x:v>Facebook</x:v>
      </x:c>
      <x:c r="D5" s="12" t="str">
        <x:v>Página oficial de la agrupación</x:v>
      </x:c>
      <x:c r="E5" s="12" t="str">
        <x:v>https://facebook.com/</x:v>
      </x:c>
      <x:c r="F5" s="12" t="str">
        <x:v>SI</x:v>
      </x:c>
      <x:c r="G5" s="12" t="n">
        <x:v>1</x:v>
      </x:c>
      <x:c r="H5" s="12" t="n">
        <x:v>46174</x:v>
      </x:c>
    </x:row>
    <x:row r="6">
      <x:c r="A6" s="12" t="str">
        <x:v>CONT-005</x:v>
      </x:c>
      <x:c r="B6" s="12" t="str">
        <x:v>RED_SOCIAL</x:v>
      </x:c>
      <x:c r="C6" s="12" t="str">
        <x:v>TikTok</x:v>
      </x:c>
      <x:c r="D6" s="12" t="str">
        <x:v>Contenido corto y presentaciones</x:v>
      </x:c>
      <x:c r="E6" s="12" t="str">
        <x:v>https://tiktok.com/</x:v>
      </x:c>
      <x:c r="F6" s="12" t="str">
        <x:v>SI</x:v>
      </x:c>
      <x:c r="G6" s="12" t="n">
        <x:v>2</x:v>
      </x:c>
      <x:c r="H6" s="12" t="n">
        <x:v>46174</x:v>
      </x:c>
    </x:row>
  </x:sheetData>
  <x:dataValidations count="1">
    <x:dataValidation type="list" sqref="F2:F10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ed5ba333954b7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7.6299991607666" hidden="0" customWidth="1"/>
    <x:col min="4" max="4" width="10.5" hidden="0" customWidth="1"/>
    <x:col min="5" max="5" width="11.170000076293945" hidden="0" customWidth="1"/>
    <x:col min="6" max="6" width="38" hidden="0" customWidth="1"/>
    <x:col min="7" max="7" width="55" hidden="0" customWidth="1"/>
    <x:col min="8" max="8" width="55" hidden="0" customWidth="1"/>
    <x:col min="9" max="9" width="50" hidden="0" customWidth="1"/>
    <x:col min="10" max="10" width="4.849999904632568" hidden="0" customWidth="1"/>
    <x:col min="11" max="11" width="7.539999961853027" hidden="0" customWidth="1"/>
    <x:col min="12" max="12" width="16.020000457763672" hidden="0" customWidth="1"/>
  </x:cols>
  <x:sheetData>
    <x:row r="1" ht="28" customHeight="1">
      <x:c r="A1" s="6" t="str">
        <x:v>id_localidad</x:v>
      </x:c>
      <x:c r="B1" s="6" t="str">
        <x:v>nombre_localidad</x:v>
      </x:c>
      <x:c r="C1" s="6" t="str">
        <x:v>nombre_normalizado</x:v>
      </x:c>
      <x:c r="D1" s="6" t="str">
        <x:v>region</x:v>
      </x:c>
      <x:c r="E1" s="6" t="str">
        <x:v>provincia</x:v>
      </x:c>
      <x:c r="F1" s="6" t="str">
        <x:v>palabras_clave</x:v>
      </x:c>
      <x:c r="G1" s="6" t="str">
        <x:v>frase_contratacion</x:v>
      </x:c>
      <x:c r="H1" s="6" t="str">
        <x:v>frase_eventos</x:v>
      </x:c>
      <x:c r="I1" s="6" t="str">
        <x:v>frase_general</x:v>
      </x:c>
      <x:c r="J1" s="6" t="str">
        <x:v>activo</x:v>
      </x:c>
      <x:c r="K1" s="6" t="str">
        <x:v>prioridad</x:v>
      </x:c>
      <x:c r="L1" s="14" t="str">
        <x:v>fecha_actualizacion</x:v>
      </x:c>
    </x:row>
    <x:row r="2">
      <x:c r="A2" s="12" t="str">
        <x:v>LOC-001</x:v>
      </x:c>
      <x:c r="B2" s="12" t="str">
        <x:v>Huancayo</x:v>
      </x:c>
      <x:c r="C2" s="12" t="str">
        <x:v>huancayo</x:v>
      </x:c>
      <x:c r="D2" s="12" t="str">
        <x:v>Junín</x:v>
      </x:c>
      <x:c r="E2" s="12" t="str">
        <x:v>Huancayo</x:v>
      </x:c>
      <x:c r="F2" s="12" t="str">
        <x:v>huanca, ciudad incontrastable, incontrastable, wanka</x:v>
      </x:c>
      <x:c r="G2" s="12" t="str">
        <x:v>¡Nuestra tierra huanca! La Ciudad Incontrastable siempre sabe celebrar bonito 🙌🎶</x:v>
      </x:c>
      <x:c r="H2" s="12" t="str">
        <x:v>¡Huancayo es casa! 🙌🎶 Qué bonito saber que nos escribes desde ahí.</x:v>
      </x:c>
      <x:c r="I2" s="12" t="str">
        <x:v>Nuestra tierra huanca siempre se hace presente 🙌🎶</x:v>
      </x:c>
      <x:c r="J2" s="12" t="str">
        <x:v>SI</x:v>
      </x:c>
      <x:c r="K2" s="12" t="n">
        <x:v>1</x:v>
      </x:c>
      <x:c r="L2" s="12" t="n">
        <x:v>46174</x:v>
      </x:c>
    </x:row>
    <x:row r="3">
      <x:c r="A3" s="12" t="str">
        <x:v>LOC-002</x:v>
      </x:c>
      <x:c r="B3" s="12" t="str">
        <x:v>Tarma</x:v>
      </x:c>
      <x:c r="C3" s="12" t="str">
        <x:v>tarma</x:v>
      </x:c>
      <x:c r="D3" s="12" t="str">
        <x:v>Junín</x:v>
      </x:c>
      <x:c r="E3" s="12" t="str">
        <x:v>Tarma</x:v>
      </x:c>
      <x:c r="F3" s="12" t="str">
        <x:v>tierra de las flores, flores, tarmeño, tarmeña</x:v>
      </x:c>
      <x:c r="G3" s="12" t="str">
        <x:v>¡Tarma, la tierra de las flores! 🌸 Ya suena a celebración bonita.</x:v>
      </x:c>
      <x:c r="H3" s="12" t="str">
        <x:v>¡Tarma presente! 🌸 Qué bonito saber que nos escribes desde la tierra de las flores.</x:v>
      </x:c>
      <x:c r="I3" s="12" t="str">
        <x:v>Tarma siempre tiene ese encanto especial de la tierra de las flores 🌸</x:v>
      </x:c>
      <x:c r="J3" s="12" t="str">
        <x:v>SI</x:v>
      </x:c>
      <x:c r="K3" s="12" t="n">
        <x:v>2</x:v>
      </x:c>
      <x:c r="L3" s="12" t="n">
        <x:v>46174</x:v>
      </x:c>
    </x:row>
    <x:row r="4">
      <x:c r="A4" s="12" t="str">
        <x:v>LOC-003</x:v>
      </x:c>
      <x:c r="B4" s="12" t="str">
        <x:v>Jauja</x:v>
      </x:c>
      <x:c r="C4" s="12" t="str">
        <x:v>jauja</x:v>
      </x:c>
      <x:c r="D4" s="12" t="str">
        <x:v>Junín</x:v>
      </x:c>
      <x:c r="E4" s="12" t="str">
        <x:v>Jauja</x:v>
      </x:c>
      <x:c r="F4" s="12" t="str">
        <x:v>primera capital del peru, jaujino, jaujina</x:v>
      </x:c>
      <x:c r="G4" s="12" t="str">
        <x:v>¡Jauja, tierra con historia y alegría! 🎶 Cuéntame la fecha y lo armamos bonito.</x:v>
      </x:c>
      <x:c r="H4" s="12" t="str">
        <x:v>¡Jauja presente! Qué gusto saber que nos escribes desde una tierra con tanta historia.</x:v>
      </x:c>
      <x:c r="I4" s="12" t="str">
        <x:v>Jauja siempre pone el toque alegre y tradicional 🎶</x:v>
      </x:c>
      <x:c r="J4" s="12" t="str">
        <x:v>SI</x:v>
      </x:c>
      <x:c r="K4" s="12" t="n">
        <x:v>3</x:v>
      </x:c>
      <x:c r="L4" s="12" t="n">
        <x:v>46174</x:v>
      </x:c>
    </x:row>
    <x:row r="5">
      <x:c r="A5" s="12" t="str">
        <x:v>LOC-004</x:v>
      </x:c>
      <x:c r="B5" s="12" t="str">
        <x:v>Concepción</x:v>
      </x:c>
      <x:c r="C5" s="12" t="str">
        <x:v>concepcion</x:v>
      </x:c>
      <x:c r="D5" s="12" t="str">
        <x:v>Junín</x:v>
      </x:c>
      <x:c r="E5" s="12" t="str">
        <x:v>Concepción</x:v>
      </x:c>
      <x:c r="F5" s="12" t="str">
        <x:v>concepcion, heroica provincia, concepcionino</x:v>
      </x:c>
      <x:c r="G5" s="12" t="str">
        <x:v>¡Concepción suena a fiesta bonita! 🙌🎶 Pásame los datos del evento.</x:v>
      </x:c>
      <x:c r="H5" s="12" t="str">
        <x:v>¡Concepción presente! Qué lindo saber que nos escribes desde ahí.</x:v>
      </x:c>
      <x:c r="I5" s="12" t="str">
        <x:v>Concepción tiene su encanto y su gente celebradora 🎶</x:v>
      </x:c>
      <x:c r="J5" s="12" t="str">
        <x:v>SI</x:v>
      </x:c>
      <x:c r="K5" s="12" t="n">
        <x:v>4</x:v>
      </x:c>
      <x:c r="L5" s="12" t="n">
        <x:v>46174</x:v>
      </x:c>
    </x:row>
    <x:row r="6">
      <x:c r="A6" s="12" t="str">
        <x:v>LOC-005</x:v>
      </x:c>
      <x:c r="B6" s="12" t="str">
        <x:v>Chupaca</x:v>
      </x:c>
      <x:c r="C6" s="12" t="str">
        <x:v>chupaca</x:v>
      </x:c>
      <x:c r="D6" s="12" t="str">
        <x:v>Junín</x:v>
      </x:c>
      <x:c r="E6" s="12" t="str">
        <x:v>Chupaca</x:v>
      </x:c>
      <x:c r="F6" s="12" t="str">
        <x:v>chupaquino, chupaquina, danza, tradicion</x:v>
      </x:c>
      <x:c r="G6" s="12" t="str">
        <x:v>¡Chupaca siempre sabe celebrar con tradición! 🎶 Cuéntame los detalles.</x:v>
      </x:c>
      <x:c r="H6" s="12" t="str">
        <x:v>¡Chupaca presente! Vamos viendo si hay fecha confirmada por ahí.</x:v>
      </x:c>
      <x:c r="I6" s="12" t="str">
        <x:v>Chupaca tiene ese sabor a fiesta de nuestra tierra 🎶</x:v>
      </x:c>
      <x:c r="J6" s="12" t="str">
        <x:v>SI</x:v>
      </x:c>
      <x:c r="K6" s="12" t="n">
        <x:v>5</x:v>
      </x:c>
      <x:c r="L6" s="12" t="n">
        <x:v>46174</x:v>
      </x:c>
    </x:row>
    <x:row r="7">
      <x:c r="A7" s="12" t="str">
        <x:v>LOC-006</x:v>
      </x:c>
      <x:c r="B7" s="12" t="str">
        <x:v>Lima</x:v>
      </x:c>
      <x:c r="C7" s="12" t="str">
        <x:v>lima</x:v>
      </x:c>
      <x:c r="D7" s="12" t="str">
        <x:v>Lima</x:v>
      </x:c>
      <x:c r="E7" s="12" t="str">
        <x:v>Lima</x:v>
      </x:c>
      <x:c r="F7" s="12" t="str">
        <x:v>lima capital, capital, lima metropolitana</x:v>
      </x:c>
      <x:c r="G7" s="12" t="str">
        <x:v>¡Lima capital! Donde todos salen adelante también se celebra bonito 🎶</x:v>
      </x:c>
      <x:c r="H7" s="12" t="str">
        <x:v>¡Lima capital presente! Vamos revisando qué fechas hay por allá.</x:v>
      </x:c>
      <x:c r="I7" s="12" t="str">
        <x:v>Lima siempre reúne historias, trabajo y ganas de celebrar 🎶</x:v>
      </x:c>
      <x:c r="J7" s="12" t="str">
        <x:v>SI</x:v>
      </x:c>
      <x:c r="K7" s="12" t="n">
        <x:v>6</x:v>
      </x:c>
      <x:c r="L7" s="12" t="n">
        <x:v>46174</x:v>
      </x:c>
    </x:row>
    <x:row r="8">
      <x:c r="A8" s="12" t="str">
        <x:v>LOC-007</x:v>
      </x:c>
      <x:c r="B8" s="12" t="str">
        <x:v>La Oroya</x:v>
      </x:c>
      <x:c r="C8" s="12" t="str">
        <x:v>la oroya</x:v>
      </x:c>
      <x:c r="D8" s="12" t="str">
        <x:v>Junín</x:v>
      </x:c>
      <x:c r="E8" s="12" t="str">
        <x:v>Yauli</x:v>
      </x:c>
      <x:c r="F8" s="12" t="str">
        <x:v>oroya, yauli, centro minero</x:v>
      </x:c>
      <x:c r="G8" s="12" t="str">
        <x:v>¡La Oroya también se hace sentir! 🎶 Pásame fecha, hora y tipo de evento.</x:v>
      </x:c>
      <x:c r="H8" s="12" t="str">
        <x:v>¡La Oroya presente! Qué gusto saber que nos escribes desde ahí.</x:v>
      </x:c>
      <x:c r="I8" s="12" t="str">
        <x:v>La Oroya siempre tiene gente fuerte y celebradora 🎶</x:v>
      </x:c>
      <x:c r="J8" s="12" t="str">
        <x:v>SI</x:v>
      </x:c>
      <x:c r="K8" s="12" t="n">
        <x:v>7</x:v>
      </x:c>
      <x:c r="L8" s="12" t="n">
        <x:v>46174</x:v>
      </x:c>
    </x:row>
    <x:row r="9">
      <x:c r="A9" s="12" t="str">
        <x:v>LOC-008</x:v>
      </x:c>
      <x:c r="B9" s="12" t="str">
        <x:v>Satipo</x:v>
      </x:c>
      <x:c r="C9" s="12" t="str">
        <x:v>satipo</x:v>
      </x:c>
      <x:c r="D9" s="12" t="str">
        <x:v>Junín</x:v>
      </x:c>
      <x:c r="E9" s="12" t="str">
        <x:v>Satipo</x:v>
      </x:c>
      <x:c r="F9" s="12" t="str">
        <x:v>selva central, satipense, asháninka</x:v>
      </x:c>
      <x:c r="G9" s="12" t="str">
        <x:v>¡Satipo, corazón de la selva central! 🌿🎶 Cuéntame los datos del evento.</x:v>
      </x:c>
      <x:c r="H9" s="12" t="str">
        <x:v>¡Satipo presente! La selva central siempre trae buena energía.</x:v>
      </x:c>
      <x:c r="I9" s="12" t="str">
        <x:v>Satipo tiene alegría, calorcito y celebración bonita 🌿🎶</x:v>
      </x:c>
      <x:c r="J9" s="12" t="str">
        <x:v>SI</x:v>
      </x:c>
      <x:c r="K9" s="12" t="n">
        <x:v>8</x:v>
      </x:c>
      <x:c r="L9" s="12" t="n">
        <x:v>46174</x:v>
      </x:c>
    </x:row>
    <x:row r="10">
      <x:c r="A10" s="12" t="str">
        <x:v>LOC-009</x:v>
      </x:c>
      <x:c r="B10" s="12" t="str">
        <x:v>Pichanaqui</x:v>
      </x:c>
      <x:c r="C10" s="12" t="str">
        <x:v>pichanaqui</x:v>
      </x:c>
      <x:c r="D10" s="12" t="str">
        <x:v>Junín</x:v>
      </x:c>
      <x:c r="E10" s="12" t="str">
        <x:v>Chanchamayo</x:v>
      </x:c>
      <x:c r="F10" s="12" t="str">
        <x:v>selva central, pichanaqui, cafetalero</x:v>
      </x:c>
      <x:c r="G10" s="12" t="str">
        <x:v>¡Pichanaqui suena a fiesta con sabor de selva central! 🌿🎶</x:v>
      </x:c>
      <x:c r="H10" s="12" t="str">
        <x:v>¡Pichanaqui presente! Vamos revisando fechas confirmadas por ahí.</x:v>
      </x:c>
      <x:c r="I10" s="12" t="str">
        <x:v>Pichanaqui siempre trae alegría de la selva central 🌿</x:v>
      </x:c>
      <x:c r="J10" s="12" t="str">
        <x:v>SI</x:v>
      </x:c>
      <x:c r="K10" s="12" t="n">
        <x:v>9</x:v>
      </x:c>
      <x:c r="L10" s="12" t="n">
        <x:v>46174</x:v>
      </x:c>
    </x:row>
    <x:row r="11">
      <x:c r="A11" s="12" t="str">
        <x:v>LOC-010</x:v>
      </x:c>
      <x:c r="B11" s="12" t="str">
        <x:v>Chanchamayo</x:v>
      </x:c>
      <x:c r="C11" s="12" t="str">
        <x:v>chanchamayo</x:v>
      </x:c>
      <x:c r="D11" s="12" t="str">
        <x:v>Junín</x:v>
      </x:c>
      <x:c r="E11" s="12" t="str">
        <x:v>Chanchamayo</x:v>
      </x:c>
      <x:c r="F11" s="12" t="str">
        <x:v>selva central, chanchamayo, merced, cafe</x:v>
      </x:c>
      <x:c r="G11" s="12" t="str">
        <x:v>¡Chanchamayo, tierra de café y alegría! ☕🎶 Cuéntame los detalles.</x:v>
      </x:c>
      <x:c r="H11" s="12" t="str">
        <x:v>¡Chanchamayo presente! Qué gusto saber que nos escribes desde la selva central.</x:v>
      </x:c>
      <x:c r="I11" s="12" t="str">
        <x:v>Chanchamayo siempre tiene ese encanto de café, calorcito y música ☕🎶</x:v>
      </x:c>
      <x:c r="J11" s="12" t="str">
        <x:v>SI</x:v>
      </x:c>
      <x:c r="K11" s="12" t="n">
        <x:v>10</x:v>
      </x:c>
      <x:c r="L11" s="12" t="n">
        <x:v>46174</x:v>
      </x:c>
    </x:row>
    <x:row r="12">
      <x:c r="A12" s="12" t="str">
        <x:v>LOC-011</x:v>
      </x:c>
      <x:c r="B12" s="12" t="str">
        <x:v>Ayacucho</x:v>
      </x:c>
      <x:c r="C12" s="12" t="str">
        <x:v>ayacucho</x:v>
      </x:c>
      <x:c r="D12" s="12" t="str">
        <x:v>Ayacucho</x:v>
      </x:c>
      <x:c r="E12" s="12" t="str">
        <x:v>Huamanga</x:v>
      </x:c>
      <x:c r="F12" s="12" t="str">
        <x:v>huamanga, ayacuchano, ayacuchana</x:v>
      </x:c>
      <x:c r="G12" s="12" t="str">
        <x:v>¡Ayacucho, tierra de tradición y sentimiento! 🎶 Cuéntame fecha y evento.</x:v>
      </x:c>
      <x:c r="H12" s="12" t="str">
        <x:v>¡Ayacucho presente! Una tierra con mucha historia y corazón.</x:v>
      </x:c>
      <x:c r="I12" s="12" t="str">
        <x:v>Ayacucho siempre lleva tradición, sentimiento y celebración 🎶</x:v>
      </x:c>
      <x:c r="J12" s="12" t="str">
        <x:v>SI</x:v>
      </x:c>
      <x:c r="K12" s="12" t="n">
        <x:v>11</x:v>
      </x:c>
      <x:c r="L12" s="12" t="n">
        <x:v>46174</x:v>
      </x:c>
    </x:row>
    <x:row r="13">
      <x:c r="A13" s="12" t="str">
        <x:v>LOC-012</x:v>
      </x:c>
      <x:c r="B13" s="12" t="str">
        <x:v>Huancavelica</x:v>
      </x:c>
      <x:c r="C13" s="12" t="str">
        <x:v>huancavelica</x:v>
      </x:c>
      <x:c r="D13" s="12" t="str">
        <x:v>Huancavelica</x:v>
      </x:c>
      <x:c r="E13" s="12" t="str">
        <x:v>Huancavelica</x:v>
      </x:c>
      <x:c r="F13" s="12" t="str">
        <x:v>villa rica de oropesa, huancavelicano</x:v>
      </x:c>
      <x:c r="G13" s="12" t="str">
        <x:v>¡Huancavelica también celebra con alma andina! 🎶 Pásame los datos.</x:v>
      </x:c>
      <x:c r="H13" s="12" t="str">
        <x:v>¡Huancavelica presente! Qué lindo saber que nos escribes desde allá.</x:v>
      </x:c>
      <x:c r="I13" s="12" t="str">
        <x:v>Huancavelica tiene fuerza, tradición y cariño para celebrar 🎶</x:v>
      </x:c>
      <x:c r="J13" s="12" t="str">
        <x:v>SI</x:v>
      </x:c>
      <x:c r="K13" s="12" t="n">
        <x:v>12</x:v>
      </x:c>
      <x:c r="L13" s="12" t="n">
        <x:v>46174</x:v>
      </x:c>
    </x:row>
    <x:row r="14">
      <x:c r="A14" s="12" t="str">
        <x:v>LOC-013</x:v>
      </x:c>
      <x:c r="B14" s="12" t="str">
        <x:v>Pasco</x:v>
      </x:c>
      <x:c r="C14" s="12" t="str">
        <x:v>pasco</x:v>
      </x:c>
      <x:c r="D14" s="12" t="str">
        <x:v>Pasco</x:v>
      </x:c>
      <x:c r="E14" s="12" t="str">
        <x:v>Pasco</x:v>
      </x:c>
      <x:c r="F14" s="12" t="str">
        <x:v>cerro de pasco, pasqueño, pasqueña</x:v>
      </x:c>
      <x:c r="G14" s="12" t="str">
        <x:v>¡Pasco se hace sentir con altura y corazón! 🎶 Cuéntame los detalles.</x:v>
      </x:c>
      <x:c r="H14" s="12" t="str">
        <x:v>¡Pasco presente! Vamos revisando eventos confirmados por esa zona.</x:v>
      </x:c>
      <x:c r="I14" s="12" t="str">
        <x:v>Pasco celebra con altura, fuerza y alegría 🎶</x:v>
      </x:c>
      <x:c r="J14" s="12" t="str">
        <x:v>SI</x:v>
      </x:c>
      <x:c r="K14" s="12" t="n">
        <x:v>13</x:v>
      </x:c>
      <x:c r="L14" s="12" t="n">
        <x:v>46174</x:v>
      </x:c>
    </x:row>
    <x:row r="15">
      <x:c r="A15" s="12" t="str">
        <x:v>LOC-014</x:v>
      </x:c>
      <x:c r="B15" s="12" t="str">
        <x:v>Huánuco</x:v>
      </x:c>
      <x:c r="C15" s="12" t="str">
        <x:v>huanuco</x:v>
      </x:c>
      <x:c r="D15" s="12" t="str">
        <x:v>Huánuco</x:v>
      </x:c>
      <x:c r="E15" s="12" t="str">
        <x:v>Huánuco</x:v>
      </x:c>
      <x:c r="F15" s="12" t="str">
        <x:v>huanuqueño, huanuqueña, primavera eterna</x:v>
      </x:c>
      <x:c r="G15" s="12" t="str">
        <x:v>¡Huánuco, tierra de la eterna primavera! 🌤️🎶 Cuéntame la fecha.</x:v>
      </x:c>
      <x:c r="H15" s="12" t="str">
        <x:v>¡Huánuco presente! Qué bonito saber que nos escribes desde la eterna primavera.</x:v>
      </x:c>
      <x:c r="I15" s="12" t="str">
        <x:v>Huánuco siempre tiene clima bonito y ganas de celebrar 🌤️🎶</x:v>
      </x:c>
      <x:c r="J15" s="12" t="str">
        <x:v>SI</x:v>
      </x:c>
      <x:c r="K15" s="12" t="n">
        <x:v>14</x:v>
      </x:c>
      <x:c r="L15" s="12" t="n">
        <x:v>46174</x:v>
      </x:c>
    </x:row>
  </x:sheetData>
  <x:dataValidations count="1">
    <x:dataValidation type="list" sqref="J2:J10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1ec12c736b4dd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1.979999542236328" hidden="0" customWidth="1"/>
    <x:col min="2" max="2" width="9.149999618530273" hidden="0" customWidth="1"/>
    <x:col min="3" max="3" width="13.1899995803833" hidden="0" customWidth="1"/>
    <x:col min="4" max="4" width="12.520000457763672" hidden="0" customWidth="1"/>
    <x:col min="5" max="5" width="15.069999694824219" hidden="0" customWidth="1"/>
    <x:col min="6" max="6" width="60" hidden="0" customWidth="1"/>
    <x:col min="7" max="7" width="9.020000457763672" hidden="0" customWidth="1"/>
    <x:col min="8" max="8" width="34" hidden="0" customWidth="1"/>
    <x:col min="9" max="9" width="11.039999961853027" hidden="0" customWidth="1"/>
  </x:cols>
  <x:sheetData>
    <x:row r="1" ht="28" customHeight="1">
      <x:c r="A1" s="6" t="str">
        <x:v>id_notificacion</x:v>
      </x:c>
      <x:c r="B1" s="6" t="str">
        <x:v>fecha_hora</x:v>
      </x:c>
      <x:c r="C1" s="6" t="str">
        <x:v>codigo_solicitud</x:v>
      </x:c>
      <x:c r="D1" s="6" t="str">
        <x:v>numero_admin</x:v>
      </x:c>
      <x:c r="E1" s="6" t="str">
        <x:v>tipo</x:v>
      </x:c>
      <x:c r="F1" s="6" t="str">
        <x:v>mensaje</x:v>
      </x:c>
      <x:c r="G1" s="6" t="str">
        <x:v>estado</x:v>
      </x:c>
      <x:c r="H1" s="6" t="str">
        <x:v>accion_disponible</x:v>
      </x:c>
      <x:c r="I1" s="6" t="str">
        <x:v>fecha_lectura</x:v>
      </x:c>
    </x:row>
    <x:row r="2">
      <x:c r="A2" s="12" t="str">
        <x:v>NOT-0001</x:v>
      </x:c>
      <x:c r="B2" s="12" t="n">
        <x:v>46174</x:v>
      </x:c>
      <x:c r="C2" s="12" t="str">
        <x:v>SOL-2026-0001</x:v>
      </x:c>
      <x:c r="D2" s="12" t="str">
        <x:v>+51999999999</x:v>
      </x:c>
      <x:c r="E2" s="12" t="str">
        <x:v>NUEVA_SOLICITUD</x:v>
      </x:c>
      <x:c r="F2" s="12" t="str">
        <x:v>Nueva solicitud de contratación. Acciones: Tomar control / Hacer seguimiento.</x:v>
      </x:c>
      <x:c r="G2" s="12" t="str">
        <x:v>PENDIENTE</x:v>
      </x:c>
      <x:c r="H2" s="12" t="str">
        <x:v>TOMAR_CONTROL;HACER_SEGUIMIENTO</x:v>
      </x:c>
      <x:c r="I2" s="12" t="str"/>
    </x:row>
  </x:sheetData>
  <x:dataValidations count="1">
    <x:dataValidation type="list" sqref="G2:G1000">
      <x:formula1>"PENDIENTE,LEIDA,ENVIADA,ERROR"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e9f2facf1240c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9.149999618530273" hidden="0" customWidth="1"/>
    <x:col min="3" max="3" width="7.400000095367432" hidden="0" customWidth="1"/>
    <x:col min="4" max="4" width="14.670000076293945" hidden="0" customWidth="1"/>
    <x:col min="5" max="5" width="12.789999961853027" hidden="0" customWidth="1"/>
    <x:col min="6" max="6" width="35" hidden="0" customWidth="1"/>
    <x:col min="7" max="7" width="45" hidden="0" customWidth="1"/>
    <x:col min="8" max="8" width="50" hidden="0" customWidth="1"/>
    <x:col min="9" max="9" width="6.860000133514404" hidden="0" customWidth="1"/>
    <x:col min="10" max="10" width="10.5" hidden="0" customWidth="1"/>
    <x:col min="11" max="11" width="13.859999656677246" hidden="0" customWidth="1"/>
  </x:cols>
  <x:sheetData>
    <x:row r="1" ht="28" customHeight="1">
      <x:c r="A1" s="6" t="str">
        <x:v>id_error</x:v>
      </x:c>
      <x:c r="B1" s="6" t="str">
        <x:v>fecha_hora</x:v>
      </x:c>
      <x:c r="C1" s="6" t="str">
        <x:v>modulo</x:v>
      </x:c>
      <x:c r="D1" s="6" t="str">
        <x:v>funcion</x:v>
      </x:c>
      <x:c r="E1" s="6" t="str">
        <x:v>numero_cliente</x:v>
      </x:c>
      <x:c r="F1" s="6" t="str">
        <x:v>mensaje_original</x:v>
      </x:c>
      <x:c r="G1" s="6" t="str">
        <x:v>error_resumen</x:v>
      </x:c>
      <x:c r="H1" s="6" t="str">
        <x:v>stacktrace</x:v>
      </x:c>
      <x:c r="I1" s="6" t="str">
        <x:v>estado</x:v>
      </x:c>
      <x:c r="J1" s="6" t="str">
        <x:v>resuelto_por</x:v>
      </x:c>
      <x:c r="K1" s="6" t="str">
        <x:v>fecha_resolucion</x:v>
      </x:c>
    </x:row>
    <x:row r="2">
      <x:c r="A2" s="12" t="str">
        <x:v>ERR-0001</x:v>
      </x:c>
      <x:c r="B2" s="12" t="n">
        <x:v>46174</x:v>
      </x:c>
      <x:c r="C2" s="12" t="str">
        <x:v>webhook</x:v>
      </x:c>
      <x:c r="D2" s="12" t="str">
        <x:v>procesar_mensaje</x:v>
      </x:c>
      <x:c r="E2" s="12" t="str">
        <x:v>+51911111111</x:v>
      </x:c>
      <x:c r="F2" s="12" t="str">
        <x:v>mensaje de prueba</x:v>
      </x:c>
      <x:c r="G2" s="12" t="str">
        <x:v>Ejemplo de registro de error</x:v>
      </x:c>
      <x:c r="H2" s="12" t="str"/>
      <x:c r="I2" s="12" t="str">
        <x:v>ABIERTO</x:v>
      </x:c>
      <x:c r="J2" s="12" t="str"/>
      <x:c r="K2" s="12" t="str"/>
    </x:row>
  </x:sheetData>
  <x:conditionalFormatting sqref="I2:I1000">
    <x:cfRule type="expression" dxfId="1" priority="1">
      <x:formula>I2="ABIERTO"</x:formula>
    </x:cfRule>
  </x:conditionalFormatting>
  <x:dataValidations count="1">
    <x:dataValidation type="list" sqref="I2:I1000">
      <x:formula1>"ABIERTO,RESUELTO,IGNORADO"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2b2694d5c04a0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8" hidden="0" customWidth="1"/>
    <x:col min="4" max="4" width="4.849999904632568" hidden="0" customWidth="1"/>
  </x:cols>
  <x:sheetData>
    <x:row r="1" ht="28" customHeight="1">
      <x:c r="A1" s="6" t="str">
        <x:v>catalogo</x:v>
      </x:c>
      <x:c r="B1" s="6" t="str">
        <x:v>valor</x:v>
      </x:c>
      <x:c r="C1" s="6" t="str">
        <x:v>descripcion</x:v>
      </x:c>
      <x:c r="D1" s="6" t="str">
        <x:v>activo</x:v>
      </x:c>
    </x:row>
    <x:row r="2">
      <x:c r="A2" s="12" t="str">
        <x:v>estado_evento</x:v>
      </x:c>
      <x:c r="B2" s="12" t="str">
        <x:v>BORRADOR</x:v>
      </x:c>
      <x:c r="C2" s="12" t="str">
        <x:v>Borrador</x:v>
      </x:c>
      <x:c r="D2" s="12" t="str">
        <x:v>SI</x:v>
      </x:c>
    </x:row>
    <x:row r="3">
      <x:c r="A3" s="12" t="str">
        <x:v>estado_evento</x:v>
      </x:c>
      <x:c r="B3" s="12" t="str">
        <x:v>CONFIRMADO</x:v>
      </x:c>
      <x:c r="C3" s="12" t="str">
        <x:v>Confirmado</x:v>
      </x:c>
      <x:c r="D3" s="12" t="str">
        <x:v>SI</x:v>
      </x:c>
    </x:row>
    <x:row r="4">
      <x:c r="A4" s="12" t="str">
        <x:v>estado_evento</x:v>
      </x:c>
      <x:c r="B4" s="12" t="str">
        <x:v>CANCELADO</x:v>
      </x:c>
      <x:c r="C4" s="12" t="str">
        <x:v>Cancelado</x:v>
      </x:c>
      <x:c r="D4" s="12" t="str">
        <x:v>SI</x:v>
      </x:c>
    </x:row>
    <x:row r="5">
      <x:c r="A5" s="12" t="str">
        <x:v>estado_evento</x:v>
      </x:c>
      <x:c r="B5" s="12" t="str">
        <x:v>FINALIZADO</x:v>
      </x:c>
      <x:c r="C5" s="12" t="str">
        <x:v>Finalizado</x:v>
      </x:c>
      <x:c r="D5" s="12" t="str">
        <x:v>SI</x:v>
      </x:c>
    </x:row>
    <x:row r="6">
      <x:c r="A6" s="12" t="str">
        <x:v>estado_solicitud</x:v>
      </x:c>
      <x:c r="B6" s="12" t="str">
        <x:v>ABIERTA</x:v>
      </x:c>
      <x:c r="C6" s="12" t="str">
        <x:v>Abierta</x:v>
      </x:c>
      <x:c r="D6" s="12" t="str">
        <x:v>SI</x:v>
      </x:c>
    </x:row>
    <x:row r="7">
      <x:c r="A7" s="12" t="str">
        <x:v>estado_solicitud</x:v>
      </x:c>
      <x:c r="B7" s="12" t="str">
        <x:v>EN_SEGUIMIENTO</x:v>
      </x:c>
      <x:c r="C7" s="12" t="str">
        <x:v>En Seguimiento</x:v>
      </x:c>
      <x:c r="D7" s="12" t="str">
        <x:v>SI</x:v>
      </x:c>
    </x:row>
    <x:row r="8">
      <x:c r="A8" s="12" t="str">
        <x:v>estado_solicitud</x:v>
      </x:c>
      <x:c r="B8" s="12" t="str">
        <x:v>TOMADA_POR_ADMIN</x:v>
      </x:c>
      <x:c r="C8" s="12" t="str">
        <x:v>Tomada Por Admin</x:v>
      </x:c>
      <x:c r="D8" s="12" t="str">
        <x:v>SI</x:v>
      </x:c>
    </x:row>
    <x:row r="9">
      <x:c r="A9" s="12" t="str">
        <x:v>estado_solicitud</x:v>
      </x:c>
      <x:c r="B9" s="12" t="str">
        <x:v>EN_CONVERSACION</x:v>
      </x:c>
      <x:c r="C9" s="12" t="str">
        <x:v>En Conversacion</x:v>
      </x:c>
      <x:c r="D9" s="12" t="str">
        <x:v>SI</x:v>
      </x:c>
    </x:row>
    <x:row r="10">
      <x:c r="A10" s="12" t="str">
        <x:v>estado_solicitud</x:v>
      </x:c>
      <x:c r="B10" s="12" t="str">
        <x:v>COTIZADA</x:v>
      </x:c>
      <x:c r="C10" s="12" t="str">
        <x:v>Cotizada</x:v>
      </x:c>
      <x:c r="D10" s="12" t="str">
        <x:v>SI</x:v>
      </x:c>
    </x:row>
    <x:row r="11">
      <x:c r="A11" s="12" t="str">
        <x:v>estado_solicitud</x:v>
      </x:c>
      <x:c r="B11" s="12" t="str">
        <x:v>CERRADA</x:v>
      </x:c>
      <x:c r="C11" s="12" t="str">
        <x:v>Cerrada</x:v>
      </x:c>
      <x:c r="D11" s="12" t="str">
        <x:v>SI</x:v>
      </x:c>
    </x:row>
    <x:row r="12">
      <x:c r="A12" s="12" t="str">
        <x:v>estado_solicitud</x:v>
      </x:c>
      <x:c r="B12" s="12" t="str">
        <x:v>DESCARTADA</x:v>
      </x:c>
      <x:c r="C12" s="12" t="str">
        <x:v>Descartada</x:v>
      </x:c>
      <x:c r="D12" s="12" t="str">
        <x:v>SI</x:v>
      </x:c>
    </x:row>
    <x:row r="13">
      <x:c r="A13" s="12" t="str">
        <x:v>modo_atencion</x:v>
      </x:c>
      <x:c r="B13" s="12" t="str">
        <x:v>BOT</x:v>
      </x:c>
      <x:c r="C13" s="12" t="str">
        <x:v>Bot</x:v>
      </x:c>
      <x:c r="D13" s="12" t="str">
        <x:v>SI</x:v>
      </x:c>
    </x:row>
    <x:row r="14">
      <x:c r="A14" s="12" t="str">
        <x:v>modo_atencion</x:v>
      </x:c>
      <x:c r="B14" s="12" t="str">
        <x:v>ADMIN</x:v>
      </x:c>
      <x:c r="C14" s="12" t="str">
        <x:v>Admin</x:v>
      </x:c>
      <x:c r="D14" s="12" t="str">
        <x:v>SI</x:v>
      </x:c>
    </x:row>
    <x:row r="15">
      <x:c r="A15" s="12" t="str">
        <x:v>modo_atencion</x:v>
      </x:c>
      <x:c r="B15" s="12" t="str">
        <x:v>SEGUIMIENTO</x:v>
      </x:c>
      <x:c r="C15" s="12" t="str">
        <x:v>Seguimiento</x:v>
      </x:c>
      <x:c r="D15" s="12" t="str">
        <x:v>SI</x:v>
      </x:c>
    </x:row>
    <x:row r="16">
      <x:c r="A16" s="12" t="str">
        <x:v>tipo_usuario</x:v>
      </x:c>
      <x:c r="B16" s="12" t="str">
        <x:v>CLIENTE</x:v>
      </x:c>
      <x:c r="C16" s="12" t="str">
        <x:v>Cliente</x:v>
      </x:c>
      <x:c r="D16" s="12" t="str">
        <x:v>SI</x:v>
      </x:c>
    </x:row>
    <x:row r="17">
      <x:c r="A17" s="12" t="str">
        <x:v>tipo_usuario</x:v>
      </x:c>
      <x:c r="B17" s="12" t="str">
        <x:v>ADMIN</x:v>
      </x:c>
      <x:c r="C17" s="12" t="str">
        <x:v>Admin</x:v>
      </x:c>
      <x:c r="D17" s="12" t="str">
        <x:v>SI</x:v>
      </x:c>
    </x:row>
    <x:row r="18">
      <x:c r="A18" s="12" t="str">
        <x:v>tipo_usuario</x:v>
      </x:c>
      <x:c r="B18" s="12" t="str">
        <x:v>DESCONOCIDO</x:v>
      </x:c>
      <x:c r="C18" s="12" t="str">
        <x:v>Desconocido</x:v>
      </x:c>
      <x:c r="D18" s="12" t="str">
        <x:v>SI</x:v>
      </x:c>
    </x:row>
    <x:row r="19">
      <x:c r="A19" s="12" t="str">
        <x:v>intencion</x:v>
      </x:c>
      <x:c r="B19" s="12" t="str">
        <x:v>GREETING</x:v>
      </x:c>
      <x:c r="C19" s="12" t="str">
        <x:v>Greeting</x:v>
      </x:c>
      <x:c r="D19" s="12" t="str">
        <x:v>SI</x:v>
      </x:c>
    </x:row>
    <x:row r="20">
      <x:c r="A20" s="12" t="str">
        <x:v>intencion</x:v>
      </x:c>
      <x:c r="B20" s="12" t="str">
        <x:v>EVENTOS</x:v>
      </x:c>
      <x:c r="C20" s="12" t="str">
        <x:v>Eventos</x:v>
      </x:c>
      <x:c r="D20" s="12" t="str">
        <x:v>SI</x:v>
      </x:c>
    </x:row>
    <x:row r="21">
      <x:c r="A21" s="12" t="str">
        <x:v>intencion</x:v>
      </x:c>
      <x:c r="B21" s="12" t="str">
        <x:v>CONTRATACION</x:v>
      </x:c>
      <x:c r="C21" s="12" t="str">
        <x:v>Contratacion</x:v>
      </x:c>
      <x:c r="D21" s="12" t="str">
        <x:v>SI</x:v>
      </x:c>
    </x:row>
    <x:row r="22">
      <x:c r="A22" s="12" t="str">
        <x:v>intencion</x:v>
      </x:c>
      <x:c r="B22" s="12" t="str">
        <x:v>CONOCE_AGRUPACION</x:v>
      </x:c>
      <x:c r="C22" s="12" t="str">
        <x:v>Conoce Agrupacion</x:v>
      </x:c>
      <x:c r="D22" s="12" t="str">
        <x:v>SI</x:v>
      </x:c>
    </x:row>
    <x:row r="23">
      <x:c r="A23" s="12" t="str">
        <x:v>intencion</x:v>
      </x:c>
      <x:c r="B23" s="12" t="str">
        <x:v>ADMIN_REGISTRAR_EVENTO</x:v>
      </x:c>
      <x:c r="C23" s="12" t="str">
        <x:v>Admin Registrar Evento</x:v>
      </x:c>
      <x:c r="D23" s="12" t="str">
        <x:v>SI</x:v>
      </x:c>
    </x:row>
    <x:row r="24">
      <x:c r="A24" s="12" t="str">
        <x:v>intencion</x:v>
      </x:c>
      <x:c r="B24" s="12" t="str">
        <x:v>UNKNOWN</x:v>
      </x:c>
      <x:c r="C24" s="12" t="str">
        <x:v>Unknown</x:v>
      </x:c>
      <x:c r="D24" s="12" t="str">
        <x:v>SI</x:v>
      </x:c>
    </x:row>
    <x:row r="25">
      <x:c r="A25" s="12" t="str">
        <x:v>estado_mensaje</x:v>
      </x:c>
      <x:c r="B25" s="12" t="str">
        <x:v>RECIBIDO</x:v>
      </x:c>
      <x:c r="C25" s="12" t="str">
        <x:v>Recibido</x:v>
      </x:c>
      <x:c r="D25" s="12" t="str">
        <x:v>SI</x:v>
      </x:c>
    </x:row>
    <x:row r="26">
      <x:c r="A26" s="12" t="str">
        <x:v>estado_mensaje</x:v>
      </x:c>
      <x:c r="B26" s="12" t="str">
        <x:v>ENVIADO</x:v>
      </x:c>
      <x:c r="C26" s="12" t="str">
        <x:v>Enviado</x:v>
      </x:c>
      <x:c r="D26" s="12" t="str">
        <x:v>SI</x:v>
      </x:c>
    </x:row>
    <x:row r="27">
      <x:c r="A27" s="12" t="str">
        <x:v>estado_mensaje</x:v>
      </x:c>
      <x:c r="B27" s="12" t="str">
        <x:v>ERROR</x:v>
      </x:c>
      <x:c r="C27" s="12" t="str">
        <x:v>Error</x:v>
      </x:c>
      <x:c r="D27" s="12" t="str">
        <x:v>SI</x:v>
      </x:c>
    </x:row>
    <x:row r="28">
      <x:c r="A28" s="12" t="str">
        <x:v>si_no</x:v>
      </x:c>
      <x:c r="B28" s="12" t="str">
        <x:v>SI</x:v>
      </x:c>
      <x:c r="C28" s="12" t="str">
        <x:v>Si</x:v>
      </x:c>
      <x:c r="D28" s="12" t="str">
        <x:v>SI</x:v>
      </x:c>
    </x:row>
    <x:row r="29">
      <x:c r="A29" s="12" t="str">
        <x:v>si_no</x:v>
      </x:c>
      <x:c r="B29" s="12" t="str">
        <x:v>NO</x:v>
      </x:c>
      <x:c r="C29" s="12" t="str">
        <x:v>No</x:v>
      </x:c>
      <x:c r="D29" s="12" t="str">
        <x:v>SI</x:v>
      </x:c>
    </x:row>
    <x:row r="30">
      <x:c r="A30" s="12" t="str">
        <x:v>rol_admin</x:v>
      </x:c>
      <x:c r="B30" s="12" t="str">
        <x:v>MANAGER</x:v>
      </x:c>
      <x:c r="C30" s="12" t="str">
        <x:v>Manager</x:v>
      </x:c>
      <x:c r="D30" s="12" t="str">
        <x:v>SI</x:v>
      </x:c>
    </x:row>
    <x:row r="31">
      <x:c r="A31" s="12" t="str">
        <x:v>rol_admin</x:v>
      </x:c>
      <x:c r="B31" s="12" t="str">
        <x:v>ADMIN</x:v>
      </x:c>
      <x:c r="C31" s="12" t="str">
        <x:v>Admin</x:v>
      </x:c>
      <x:c r="D31" s="12" t="str">
        <x:v>SI</x:v>
      </x:c>
    </x:row>
    <x:row r="32">
      <x:c r="A32" s="12" t="str">
        <x:v>rol_admin</x:v>
      </x:c>
      <x:c r="B32" s="12" t="str">
        <x:v>SEGUIMIENTO</x:v>
      </x:c>
      <x:c r="C32" s="12" t="str">
        <x:v>Seguimiento</x:v>
      </x:c>
      <x:c r="D32" s="12" t="str">
        <x:v>SI</x:v>
      </x:c>
    </x:row>
  </x:sheetData>
  <x:pageMargins left="0.7" right="0.7" top="0.75" bottom="0.75" header="0.3" footer="0.3"/>
  <x:tableParts count="1">
    <x:tablePart xmlns:r="http://schemas.openxmlformats.org/officeDocument/2006/relationships" r:id="R64ff3b6633c4448a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5" hidden="0" customWidth="1"/>
  </x:cols>
  <x:sheetData>
    <x:row r="1" ht="34" customHeight="1">
      <x:c r="A1" s="19" t="str">
        <x:v>Music Bot WhatsApp — Resumen operativo</x:v>
      </x:c>
    </x:row>
    <x:row r="3">
      <x:c r="A3" s="24" t="str">
        <x:v>Indicador</x:v>
      </x:c>
      <x:c r="B3" s="24" t="str">
        <x:v>Valor</x:v>
      </x:c>
      <x:c r="C3" s="24" t="str">
        <x:v>Notas</x:v>
      </x:c>
    </x:row>
    <x:row r="4">
      <x:c r="A4" s="12" t="str">
        <x:v>Solicitudes abiertas</x:v>
      </x:c>
      <x:c r="B4" s="12" t="n">
        <x:f>COUNTIF(SolicitudesContratacion!C:C,"ABIERTA")</x:f>
        <x:v>1</x:v>
      </x:c>
      <x:c r="C4" s="12" t="str">
        <x:v>Pendientes de atención</x:v>
      </x:c>
    </x:row>
    <x:row r="5">
      <x:c r="A5" s="12" t="str">
        <x:v>Solicitudes tomadas por admin</x:v>
      </x:c>
      <x:c r="B5" s="12" t="n">
        <x:f>COUNTIF(SolicitudesContratacion!C:C,"TOMADA_POR_ADMIN")</x:f>
        <x:v>0</x:v>
      </x:c>
      <x:c r="C5" s="12" t="str">
        <x:v>En control humano</x:v>
      </x:c>
    </x:row>
    <x:row r="6">
      <x:c r="A6" s="12" t="str">
        <x:v>Eventos confirmados</x:v>
      </x:c>
      <x:c r="B6" s="12" t="n">
        <x:f>COUNTIF(Eventos!K:K,"CONFIRMADO")</x:f>
        <x:v>1</x:v>
      </x:c>
      <x:c r="C6" s="12" t="str">
        <x:v>Mostrados al cliente</x:v>
      </x:c>
    </x:row>
    <x:row r="7">
      <x:c r="A7" s="12" t="str">
        <x:v>Localidades activas</x:v>
      </x:c>
      <x:c r="B7" s="12" t="n">
        <x:f>COUNTIF(Localidades!J:J,"SI")</x:f>
        <x:v>14</x:v>
      </x:c>
      <x:c r="C7" s="12" t="str">
        <x:v>Usadas para personalizar respuestas</x:v>
      </x:c>
    </x:row>
    <x:row r="8">
      <x:c r="A8" s="12" t="str">
        <x:v>Administradores activos</x:v>
      </x:c>
      <x:c r="B8" s="12" t="n">
        <x:f>COUNTIF(Administradores!E:E,"SI")</x:f>
        <x:v>2</x:v>
      </x:c>
      <x:c r="C8" s="12" t="str">
        <x:v>Reciben notificaciones</x:v>
      </x:c>
    </x:row>
    <x:row r="9">
      <x:c r="A9" s="12" t="str">
        <x:v>Mensajes registrados</x:v>
      </x:c>
      <x:c r="B9" s="12" t="n">
        <x:f>COUNTA(Mensajes!A:A)-1</x:f>
        <x:v>1</x:v>
      </x:c>
      <x:c r="C9" s="12" t="str">
        <x:v>Historial de conversación</x:v>
      </x:c>
    </x:row>
    <x:row r="10">
      <x:c r="A10" s="12" t="str">
        <x:v>Errores abiertos</x:v>
      </x:c>
      <x:c r="B10" s="12" t="n">
        <x:f>COUNTIF(Errores!I:I,"ABIERTO")</x:f>
        <x:v>1</x:v>
      </x:c>
      <x:c r="C10" s="12" t="str">
        <x:v>Revisar antes de producción</x:v>
      </x:c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6" t="str">
        <x:v>tema</x:v>
      </x:c>
      <x:c r="B1" s="6" t="str">
        <x:v>detalle</x:v>
      </x:c>
    </x:row>
    <x:row r="2">
      <x:c r="A2" s="12" t="str">
        <x:v>Uso</x:v>
      </x:c>
      <x:c r="B2" s="12" t="str">
        <x:v>Sube este archivo a Google Drive y ábrelo con Google Sheets. El backend puede usar estas hojas como base inicial.</x:v>
      </x:c>
    </x:row>
    <x:row r="3">
      <x:c r="A3" s="12" t="str">
        <x:v>No borrar encabezados</x:v>
      </x:c>
      <x:c r="B3" s="12" t="str">
        <x:v>El backend debe crear encabezados solo si una hoja está vacía. No debe borrar datos existentes.</x:v>
      </x:c>
    </x:row>
    <x:row r="4">
      <x:c r="A4" s="12" t="str">
        <x:v>Número de solicitud</x:v>
      </x:c>
      <x:c r="B4" s="12" t="str">
        <x:v>El código SOL-YYYY-0000 es interno. No mostrar al cliente.</x:v>
      </x:c>
    </x:row>
    <x:row r="5">
      <x:c r="A5" s="12" t="str">
        <x:v>Localidades</x:v>
      </x:c>
      <x:c r="B5" s="12" t="str">
        <x:v>Agregar nuevas ciudades aquí. El bot debe buscar por nombre_normalizado y palabras_clave.</x:v>
      </x:c>
    </x:row>
    <x:row r="6">
      <x:c r="A6" s="12" t="str">
        <x:v>Eventos</x:v>
      </x:c>
      <x:c r="B6" s="12" t="str">
        <x:v>Solo mostrar eventos con estado CONFIRMADO y fecha_evento igual o posterior a hoy.</x:v>
      </x:c>
    </x:row>
    <x:row r="7">
      <x:c r="A7" s="12" t="str">
        <x:v>Administradores</x:v>
      </x:c>
      <x:c r="B7" s="12" t="str">
        <x:v>Solo números activos deben recibir notificaciones internas.</x:v>
      </x:c>
    </x:row>
    <x:row r="8">
      <x:c r="A8" s="12" t="str">
        <x:v>Migración futura</x:v>
      </x:c>
      <x:c r="B8" s="12" t="str">
        <x:v>La estructura separa datos para poder migrar luego a PostgreSQL o MySQL.</x:v>
      </x:c>
    </x:row>
  </x:sheetData>
  <x:pageMargins left="0.7" right="0.7" top="0.75" bottom="0.75" header="0.3" footer="0.3"/>
  <x:tableParts count="1">
    <x:tablePart xmlns:r="http://schemas.openxmlformats.org/officeDocument/2006/relationships" r:id="R553dc65bc1e645c7"/>
  </x:tableParts>
</x:worksheet>
</file>